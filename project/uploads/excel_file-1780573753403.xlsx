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FL158633\Downloads\"/>
    </mc:Choice>
  </mc:AlternateContent>
  <bookViews>
    <workbookView xWindow="0" yWindow="0" windowWidth="20490" windowHeight="7530" tabRatio="838" activeTab="1"/>
  </bookViews>
  <sheets>
    <sheet name="🏠 Dashboard" sheetId="1" r:id="rId1"/>
    <sheet name="⚙️ Requirements" sheetId="2" r:id="rId2"/>
    <sheet name="🔍 Google Search" sheetId="3" r:id="rId3"/>
    <sheet name="🔌 Ad Extensions" sheetId="4" r:id="rId4"/>
    <sheet name="📺 Display · PMax" sheetId="5" r:id="rId5"/>
    <sheet name="🌟 Demand Gen" sheetId="6" r:id="rId6"/>
    <sheet name="📘 Meta Facebook" sheetId="7" r:id="rId7"/>
    <sheet name="🔷 Microsoft Bing" sheetId="8" r:id="rId8"/>
    <sheet name="📐 Guidelines" sheetId="9" r:id="rId9"/>
    <sheet name="📝 Copy Bank" sheetId="10" r:id="rId10"/>
    <sheet name="📊 Content Tracker" sheetId="11" r:id="rId11"/>
    <sheet name="💡 Samples &amp; Ref" sheetId="12" r:id="rId12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1" i="10" l="1"/>
  <c r="D60" i="10"/>
  <c r="D59" i="10"/>
  <c r="D58" i="10"/>
  <c r="D57" i="10"/>
  <c r="D56" i="10"/>
  <c r="D52" i="10"/>
  <c r="D51" i="10"/>
  <c r="D50" i="10"/>
  <c r="D49" i="10"/>
  <c r="D48" i="10"/>
  <c r="D47" i="10"/>
  <c r="D46" i="10"/>
  <c r="D45" i="10"/>
  <c r="D41" i="10"/>
  <c r="D40" i="10"/>
  <c r="D39" i="10"/>
  <c r="D38" i="10"/>
  <c r="D37" i="10"/>
  <c r="D36" i="10"/>
  <c r="D35" i="10"/>
  <c r="D34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5" i="10"/>
  <c r="D14" i="10"/>
  <c r="D13" i="10"/>
  <c r="D12" i="10"/>
  <c r="D11" i="10"/>
  <c r="D10" i="10"/>
  <c r="D9" i="10"/>
  <c r="D8" i="10"/>
  <c r="D7" i="10"/>
  <c r="D6" i="10"/>
  <c r="F34" i="8"/>
  <c r="D34" i="8"/>
  <c r="F33" i="8"/>
  <c r="D33" i="8"/>
  <c r="F32" i="8"/>
  <c r="D32" i="8"/>
  <c r="F31" i="8"/>
  <c r="D31" i="8"/>
  <c r="F27" i="8"/>
  <c r="D27" i="8"/>
  <c r="F26" i="8"/>
  <c r="D26" i="8"/>
  <c r="F25" i="8"/>
  <c r="D25" i="8"/>
  <c r="F24" i="8"/>
  <c r="D24" i="8"/>
  <c r="F23" i="8"/>
  <c r="D23" i="8"/>
  <c r="F22" i="8"/>
  <c r="D22" i="8"/>
  <c r="F21" i="8"/>
  <c r="D21" i="8"/>
  <c r="F20" i="8"/>
  <c r="D20" i="8"/>
  <c r="F19" i="8"/>
  <c r="D19" i="8"/>
  <c r="F18" i="8"/>
  <c r="D18" i="8"/>
  <c r="F17" i="8"/>
  <c r="D17" i="8"/>
  <c r="H16" i="8"/>
  <c r="F16" i="8"/>
  <c r="D16" i="8"/>
  <c r="H15" i="8"/>
  <c r="F15" i="8"/>
  <c r="D15" i="8"/>
  <c r="F14" i="8"/>
  <c r="D14" i="8"/>
  <c r="F13" i="8"/>
  <c r="D13" i="8"/>
  <c r="F34" i="7"/>
  <c r="D34" i="7"/>
  <c r="F33" i="7"/>
  <c r="D33" i="7"/>
  <c r="F32" i="7"/>
  <c r="D32" i="7"/>
  <c r="F31" i="7"/>
  <c r="D31" i="7"/>
  <c r="F30" i="7"/>
  <c r="D30" i="7"/>
  <c r="F26" i="7"/>
  <c r="D26" i="7"/>
  <c r="F25" i="7"/>
  <c r="D25" i="7"/>
  <c r="F24" i="7"/>
  <c r="D24" i="7"/>
  <c r="F23" i="7"/>
  <c r="D23" i="7"/>
  <c r="F22" i="7"/>
  <c r="D22" i="7"/>
  <c r="F18" i="7"/>
  <c r="D18" i="7"/>
  <c r="F17" i="7"/>
  <c r="D17" i="7"/>
  <c r="H16" i="7"/>
  <c r="F16" i="7"/>
  <c r="D16" i="7"/>
  <c r="H15" i="7"/>
  <c r="F15" i="7"/>
  <c r="D15" i="7"/>
  <c r="F14" i="7"/>
  <c r="D14" i="7"/>
  <c r="H8" i="7"/>
  <c r="F18" i="6"/>
  <c r="D18" i="6"/>
  <c r="F17" i="6"/>
  <c r="D17" i="6"/>
  <c r="F16" i="6"/>
  <c r="D16" i="6"/>
  <c r="F15" i="6"/>
  <c r="D15" i="6"/>
  <c r="F14" i="6"/>
  <c r="D14" i="6"/>
  <c r="F10" i="6"/>
  <c r="D10" i="6"/>
  <c r="F9" i="6"/>
  <c r="D9" i="6"/>
  <c r="F8" i="6"/>
  <c r="D8" i="6"/>
  <c r="F7" i="6"/>
  <c r="D7" i="6"/>
  <c r="F6" i="6"/>
  <c r="D6" i="6"/>
  <c r="F33" i="5"/>
  <c r="D33" i="5"/>
  <c r="K30" i="5"/>
  <c r="I30" i="5"/>
  <c r="F30" i="5"/>
  <c r="D30" i="5"/>
  <c r="K29" i="5"/>
  <c r="I29" i="5"/>
  <c r="F29" i="5"/>
  <c r="D29" i="5"/>
  <c r="K28" i="5"/>
  <c r="I28" i="5"/>
  <c r="F28" i="5"/>
  <c r="D28" i="5"/>
  <c r="K27" i="5"/>
  <c r="I27" i="5"/>
  <c r="F27" i="5"/>
  <c r="D27" i="5"/>
  <c r="K26" i="5"/>
  <c r="I26" i="5"/>
  <c r="F26" i="5"/>
  <c r="D26" i="5"/>
  <c r="K23" i="5"/>
  <c r="I23" i="5"/>
  <c r="F23" i="5"/>
  <c r="D23" i="5"/>
  <c r="K22" i="5"/>
  <c r="I22" i="5"/>
  <c r="F22" i="5"/>
  <c r="D22" i="5"/>
  <c r="K21" i="5"/>
  <c r="I21" i="5"/>
  <c r="F21" i="5"/>
  <c r="D21" i="5"/>
  <c r="K20" i="5"/>
  <c r="I20" i="5"/>
  <c r="F20" i="5"/>
  <c r="D20" i="5"/>
  <c r="K19" i="5"/>
  <c r="I19" i="5"/>
  <c r="F19" i="5"/>
  <c r="D19" i="5"/>
  <c r="K16" i="5"/>
  <c r="I16" i="5"/>
  <c r="F16" i="5"/>
  <c r="D16" i="5"/>
  <c r="K15" i="5"/>
  <c r="I15" i="5"/>
  <c r="F15" i="5"/>
  <c r="D15" i="5"/>
  <c r="K14" i="5"/>
  <c r="I14" i="5"/>
  <c r="F14" i="5"/>
  <c r="D14" i="5"/>
  <c r="K13" i="5"/>
  <c r="I13" i="5"/>
  <c r="F13" i="5"/>
  <c r="D13" i="5"/>
  <c r="K12" i="5"/>
  <c r="I12" i="5"/>
  <c r="F12" i="5"/>
  <c r="D12" i="5"/>
  <c r="K11" i="5"/>
  <c r="I11" i="5"/>
  <c r="F11" i="5"/>
  <c r="D11" i="5"/>
  <c r="K10" i="5"/>
  <c r="I10" i="5"/>
  <c r="F10" i="5"/>
  <c r="D10" i="5"/>
  <c r="K9" i="5"/>
  <c r="I9" i="5"/>
  <c r="F9" i="5"/>
  <c r="D9" i="5"/>
  <c r="K8" i="5"/>
  <c r="I8" i="5"/>
  <c r="F8" i="5"/>
  <c r="D8" i="5"/>
  <c r="K7" i="5"/>
  <c r="I7" i="5"/>
  <c r="F7" i="5"/>
  <c r="D7" i="5"/>
  <c r="F56" i="4"/>
  <c r="E56" i="4"/>
  <c r="F55" i="4"/>
  <c r="E55" i="4"/>
  <c r="F54" i="4"/>
  <c r="E54" i="4"/>
  <c r="E36" i="4"/>
  <c r="C36" i="4"/>
  <c r="E35" i="4"/>
  <c r="C35" i="4"/>
  <c r="E34" i="4"/>
  <c r="C34" i="4"/>
  <c r="E33" i="4"/>
  <c r="C33" i="4"/>
  <c r="E32" i="4"/>
  <c r="C32" i="4"/>
  <c r="E31" i="4"/>
  <c r="C31" i="4"/>
  <c r="E30" i="4"/>
  <c r="C30" i="4"/>
  <c r="E29" i="4"/>
  <c r="C29" i="4"/>
  <c r="E28" i="4"/>
  <c r="C28" i="4"/>
  <c r="E27" i="4"/>
  <c r="C27" i="4"/>
  <c r="E26" i="4"/>
  <c r="C26" i="4"/>
  <c r="E25" i="4"/>
  <c r="C25" i="4"/>
  <c r="E24" i="4"/>
  <c r="C24" i="4"/>
  <c r="E23" i="4"/>
  <c r="C23" i="4"/>
  <c r="E22" i="4"/>
  <c r="C22" i="4"/>
  <c r="E21" i="4"/>
  <c r="C21" i="4"/>
  <c r="E20" i="4"/>
  <c r="C20" i="4"/>
  <c r="E19" i="4"/>
  <c r="C19" i="4"/>
  <c r="E18" i="4"/>
  <c r="C18" i="4"/>
  <c r="E17" i="4"/>
  <c r="C17" i="4"/>
  <c r="H13" i="4"/>
  <c r="F13" i="4"/>
  <c r="H12" i="4"/>
  <c r="F12" i="4"/>
  <c r="H11" i="4"/>
  <c r="F11" i="4"/>
  <c r="H10" i="4"/>
  <c r="F10" i="4"/>
  <c r="H9" i="4"/>
  <c r="F9" i="4"/>
  <c r="H8" i="4"/>
  <c r="F8" i="4"/>
  <c r="H7" i="4"/>
  <c r="F7" i="4"/>
  <c r="H6" i="4"/>
  <c r="F6" i="4"/>
  <c r="F36" i="3"/>
  <c r="D36" i="3"/>
  <c r="F35" i="3"/>
  <c r="D35" i="3"/>
  <c r="F34" i="3"/>
  <c r="D34" i="3"/>
  <c r="F33" i="3"/>
  <c r="D33" i="3"/>
  <c r="F29" i="3"/>
  <c r="D29" i="3"/>
  <c r="F28" i="3"/>
  <c r="D28" i="3"/>
  <c r="F27" i="3"/>
  <c r="D27" i="3"/>
  <c r="F26" i="3"/>
  <c r="D26" i="3"/>
  <c r="F25" i="3"/>
  <c r="D25" i="3"/>
  <c r="H24" i="3"/>
  <c r="F24" i="3"/>
  <c r="D24" i="3"/>
  <c r="H23" i="3"/>
  <c r="F23" i="3"/>
  <c r="D23" i="3"/>
  <c r="F22" i="3"/>
  <c r="D22" i="3"/>
  <c r="F21" i="3"/>
  <c r="D21" i="3"/>
  <c r="F20" i="3"/>
  <c r="D20" i="3"/>
  <c r="F19" i="3"/>
  <c r="D19" i="3"/>
  <c r="F18" i="3"/>
  <c r="D18" i="3"/>
  <c r="F17" i="3"/>
  <c r="D17" i="3"/>
  <c r="F16" i="3"/>
  <c r="D16" i="3"/>
  <c r="F15" i="3"/>
  <c r="D15" i="3"/>
  <c r="H11" i="3"/>
  <c r="H10" i="3"/>
  <c r="H9" i="3"/>
  <c r="M23" i="2"/>
  <c r="I23" i="2"/>
  <c r="D23" i="2"/>
</calcChain>
</file>

<file path=xl/sharedStrings.xml><?xml version="1.0" encoding="utf-8"?>
<sst xmlns="http://schemas.openxmlformats.org/spreadsheetml/2006/main" count="1257" uniqueCount="794">
  <si>
    <t>SHRIRAM CREDIT · LAMF · AD CONTENT MASTER FILE</t>
  </si>
  <si>
    <t>Loan Against Mutual Funds @ 10.5%* p.a. | Multi-Channel Ad Copy Workbook | Google · Meta Facebook · Microsoft Bing</t>
  </si>
  <si>
    <t>PRODUCT BRIEF</t>
  </si>
  <si>
    <t>Field</t>
  </si>
  <si>
    <t>Details</t>
  </si>
  <si>
    <t>Product</t>
  </si>
  <si>
    <t>Loan Against Mutual Funds (LAMF)</t>
  </si>
  <si>
    <t>Brand</t>
  </si>
  <si>
    <t>Shriram Credit</t>
  </si>
  <si>
    <t>Rate</t>
  </si>
  <si>
    <t>10.5%* p.a. (only on amount utilized)</t>
  </si>
  <si>
    <t>Regulated By</t>
  </si>
  <si>
    <t>SEBI &amp; RBI</t>
  </si>
  <si>
    <t>Max Loan</t>
  </si>
  <si>
    <t>Founded</t>
  </si>
  <si>
    <t>1974 — 40+ years legacy</t>
  </si>
  <si>
    <t>Process</t>
  </si>
  <si>
    <t>100% Digital · Fast Approval</t>
  </si>
  <si>
    <t>Collateral</t>
  </si>
  <si>
    <t>MF units lien-marked, NOT sold</t>
  </si>
  <si>
    <t>Core USP</t>
  </si>
  <si>
    <t>Stay invested. Access funds.</t>
  </si>
  <si>
    <t>No Tax</t>
  </si>
  <si>
    <t>No capital gains tax event*</t>
  </si>
  <si>
    <t>🎯 TARGET AUDIENCE SEGMENTS</t>
  </si>
  <si>
    <t>Segment</t>
  </si>
  <si>
    <t>Intent / Trigger</t>
  </si>
  <si>
    <t>Best Channels</t>
  </si>
  <si>
    <t>Personal Loan Seekers</t>
  </si>
  <si>
    <t>High-intent — searching for personal loan alternatives</t>
  </si>
  <si>
    <t>Google Search · Bing</t>
  </si>
  <si>
    <t>Emergency Cash Need</t>
  </si>
  <si>
    <t>Need urgent liquidity — medical, urgent expenses</t>
  </si>
  <si>
    <t>Google Search · Meta</t>
  </si>
  <si>
    <t>Wedding / Life Events</t>
  </si>
  <si>
    <t>Funding milestones without breaking investments</t>
  </si>
  <si>
    <t>Meta · PMax · DemandGen</t>
  </si>
  <si>
    <t>Long-Term MF Investors</t>
  </si>
  <si>
    <t>Existing MF holders wanting liquidity without redemption</t>
  </si>
  <si>
    <t>Meta · DemandGen</t>
  </si>
  <si>
    <t>Low-Interest Loan Seekers</t>
  </si>
  <si>
    <t>Rate-sensitive, comparing loan options</t>
  </si>
  <si>
    <t>Wealth-Conscious Investors</t>
  </si>
  <si>
    <t>Avoid capital gains / portfolio disruption</t>
  </si>
  <si>
    <t>📋 WORKBOOK NAVIGATION</t>
  </si>
  <si>
    <t>Sheet / Tab</t>
  </si>
  <si>
    <t>Purpose</t>
  </si>
  <si>
    <t>Location</t>
  </si>
  <si>
    <t>⚙️ Requirements</t>
  </si>
  <si>
    <t>Define campaigns, themes, ad counts per channel/type</t>
  </si>
  <si>
    <t>Tab 2</t>
  </si>
  <si>
    <t>🔍 Google Search</t>
  </si>
  <si>
    <t>RSA headlines + descriptions + LIVE ad preview + 5 themes</t>
  </si>
  <si>
    <t>Tab 3</t>
  </si>
  <si>
    <t>🔌 Ad Extensions</t>
  </si>
  <si>
    <t>Sitelinks, callouts, snippets, image, promotion extensions</t>
  </si>
  <si>
    <t>Tab 4</t>
  </si>
  <si>
    <t>📺 Display · PMax</t>
  </si>
  <si>
    <t>Responsive Display + Performance Max all asset groups</t>
  </si>
  <si>
    <t>Tab 5</t>
  </si>
  <si>
    <t>🌟 Demand Gen</t>
  </si>
  <si>
    <t>Google Demand Gen / YouTube Discovery copy</t>
  </si>
  <si>
    <t>Tab 6</t>
  </si>
  <si>
    <t>📘 Meta Facebook</t>
  </si>
  <si>
    <t>FB + Instagram copy (feed/story) + LIVE preview simulation</t>
  </si>
  <si>
    <t>Tab 7</t>
  </si>
  <si>
    <t>🔷 Microsoft Bing</t>
  </si>
  <si>
    <t>Bing RSA copy — same RSA format as Google Search</t>
  </si>
  <si>
    <t>Tab 8</t>
  </si>
  <si>
    <t>📐 Guidelines</t>
  </si>
  <si>
    <t>Select channel + type → see char limits + best practices</t>
  </si>
  <si>
    <t>Tab 9</t>
  </si>
  <si>
    <t>📝 Copy Bank</t>
  </si>
  <si>
    <t>USPs, CTAs, power words, LAMF key phrases — reusable</t>
  </si>
  <si>
    <t>Tab 10</t>
  </si>
  <si>
    <t>📊 Content Tracker</t>
  </si>
  <si>
    <t>Assign copy, track status, manage review workflow</t>
  </si>
  <si>
    <t>Tab 11</t>
  </si>
  <si>
    <t>💡 Samples &amp; Ref</t>
  </si>
  <si>
    <t>Competitor reference, sample ad formats, benchmarks</t>
  </si>
  <si>
    <t>Tab 12</t>
  </si>
  <si>
    <t>* Subject to compliance review. All character limits per Google Ads / Meta Ads Manager specifications. Check official docs before going live.</t>
  </si>
  <si>
    <t>LAMF · CAMPAIGN REQUIREMENTS DASHBOARD</t>
  </si>
  <si>
    <t>Fill BLUE cells to define campaign requirements · Content team writes to these specs · Marketer edits #HLs and #Descs per ad group</t>
  </si>
  <si>
    <t>💡 TIP: Edit columns G (# Headlines), H (# Descriptions), I (# Ads) to control output from content team. Status updates auto-colour.</t>
  </si>
  <si>
    <t>#</t>
  </si>
  <si>
    <t>Channel</t>
  </si>
  <si>
    <t>Campaign Type</t>
  </si>
  <si>
    <t>Campaign Name</t>
  </si>
  <si>
    <t>Ad Group / Ad Set</t>
  </si>
  <si>
    <t>Theme</t>
  </si>
  <si>
    <t>HLs</t>
  </si>
  <si>
    <t>Descs</t>
  </si>
  <si>
    <t>Ads</t>
  </si>
  <si>
    <t>Deadline</t>
  </si>
  <si>
    <t>Assigned To</t>
  </si>
  <si>
    <t>Status</t>
  </si>
  <si>
    <t>Priority</t>
  </si>
  <si>
    <t>Notes</t>
  </si>
  <si>
    <t>Google Search</t>
  </si>
  <si>
    <t>RSA</t>
  </si>
  <si>
    <t>LAMF — Personal Loan Intercept</t>
  </si>
  <si>
    <t>Personal Loan</t>
  </si>
  <si>
    <t>Personal Loan Alternatives</t>
  </si>
  <si>
    <t>Not Started</t>
  </si>
  <si>
    <t>High</t>
  </si>
  <si>
    <t>Intercept personal loan searches</t>
  </si>
  <si>
    <t>LAMF — Instant Cash Intercept</t>
  </si>
  <si>
    <t>Instant / Quick Cash</t>
  </si>
  <si>
    <t>Instant Cash</t>
  </si>
  <si>
    <t>Intercept instant cash searches</t>
  </si>
  <si>
    <t>LAMF — Emergency Cash Intercept</t>
  </si>
  <si>
    <t>Emergency Cash</t>
  </si>
  <si>
    <t>Intercept emergency cash searches</t>
  </si>
  <si>
    <t>LAMF — Urgent Money Intercept</t>
  </si>
  <si>
    <t>Urgent Money Need</t>
  </si>
  <si>
    <t>Urgent Money</t>
  </si>
  <si>
    <t>Medium</t>
  </si>
  <si>
    <t>Intercept urgent money searches</t>
  </si>
  <si>
    <t>LAMF — Low Interest Loan Intercept</t>
  </si>
  <si>
    <t>Low-Interest Loan</t>
  </si>
  <si>
    <t>Low-Rate Loan</t>
  </si>
  <si>
    <t>Intercept low-rate loan searches</t>
  </si>
  <si>
    <t>LAMF — Wealth Preservation</t>
  </si>
  <si>
    <t>Investor Mindset</t>
  </si>
  <si>
    <t>Wealth / Investor</t>
  </si>
  <si>
    <t>Target MF investors</t>
  </si>
  <si>
    <t>Google Display</t>
  </si>
  <si>
    <t>Responsive</t>
  </si>
  <si>
    <t>LAMF — Display Awareness</t>
  </si>
  <si>
    <t>MF Investors</t>
  </si>
  <si>
    <t>LAMF Awareness</t>
  </si>
  <si>
    <t>Broad MF investor audience</t>
  </si>
  <si>
    <t>Google PMax</t>
  </si>
  <si>
    <t>Performance Max</t>
  </si>
  <si>
    <t>LAMF — PMax All Audiences</t>
  </si>
  <si>
    <t>All Audiences</t>
  </si>
  <si>
    <t>Full Funnel</t>
  </si>
  <si>
    <t>All assets for PMax</t>
  </si>
  <si>
    <t>Google Demand Gen</t>
  </si>
  <si>
    <t>Demand Gen</t>
  </si>
  <si>
    <t>LAMF — DemandGen</t>
  </si>
  <si>
    <t>Investor Audiences</t>
  </si>
  <si>
    <t>Investor Awareness</t>
  </si>
  <si>
    <t>Low</t>
  </si>
  <si>
    <t>YouTube + Discover</t>
  </si>
  <si>
    <t>Meta Facebook</t>
  </si>
  <si>
    <t>Lead Gen</t>
  </si>
  <si>
    <t>LAMF — FB Lead Gen</t>
  </si>
  <si>
    <t>Lookalike — MF Investors</t>
  </si>
  <si>
    <t>Lead Generation</t>
  </si>
  <si>
    <t>Lead gen from MF LLA</t>
  </si>
  <si>
    <t>Conversions</t>
  </si>
  <si>
    <t>LAMF — FB Retargeting</t>
  </si>
  <si>
    <t>Retargeting — Visitors</t>
  </si>
  <si>
    <t>Retargeting</t>
  </si>
  <si>
    <t>Retarget site visitors</t>
  </si>
  <si>
    <t>Awareness</t>
  </si>
  <si>
    <t>LAMF — FB Brand Awareness</t>
  </si>
  <si>
    <t>Broad Investor Demo</t>
  </si>
  <si>
    <t>Brand Awareness</t>
  </si>
  <si>
    <t>Awareness — investor demo</t>
  </si>
  <si>
    <t>Meta Instagram</t>
  </si>
  <si>
    <t>Stories</t>
  </si>
  <si>
    <t>LAMF — IG Stories</t>
  </si>
  <si>
    <t>Millennial Investors</t>
  </si>
  <si>
    <t>Story Format</t>
  </si>
  <si>
    <t>Instagram Story ads</t>
  </si>
  <si>
    <t>Microsoft Bing</t>
  </si>
  <si>
    <t>LAMF — Bing Personal Loan</t>
  </si>
  <si>
    <t>Bing personal loan intercept</t>
  </si>
  <si>
    <t>LAMF — Bing Emergency</t>
  </si>
  <si>
    <t>Bing emergency cash</t>
  </si>
  <si>
    <t>TOTALS</t>
  </si>
  <si>
    <t>Total Campaigns</t>
  </si>
  <si>
    <t>Total Headlines Required</t>
  </si>
  <si>
    <t>Total Descriptions</t>
  </si>
  <si>
    <t>LAMF · GOOGLE SEARCH ADS — RSA COPY + LIVE PREVIEW</t>
  </si>
  <si>
    <t>15 Headlines (≤30 chars) · 4 Descriptions (≤90 chars) · Column D/J = live LEN() · Column F/L = auto status · Preview updates as you type</t>
  </si>
  <si>
    <t>CAMPAIGN SETUP — FILL IN BEFORE WRITING COPY</t>
  </si>
  <si>
    <t>🔍 GOOGLE SEARCH AD PREVIEW — UPDATES AUTOMATICALLY AS YOU TYPE</t>
  </si>
  <si>
    <t>Preview simulates Google SERP format · Shows HL1 + HL2 + HL3 and Desc1 + Desc2 from your copy above</t>
  </si>
  <si>
    <t>Ad Group Name</t>
  </si>
  <si>
    <t>Theme / Intent</t>
  </si>
  <si>
    <t>Personal Loan Alternatives — Intercept</t>
  </si>
  <si>
    <t>DESKTOP PREVIEW</t>
  </si>
  <si>
    <t>Target Audience</t>
  </si>
  <si>
    <t>MF investors searching for personal loans</t>
  </si>
  <si>
    <t xml:space="preserve">  🟢 Sponsored</t>
  </si>
  <si>
    <t>Final URL</t>
  </si>
  <si>
    <t>https://www.shriramcredit.com/lamf</t>
  </si>
  <si>
    <t>Display Path 1 (≤15 chars)</t>
  </si>
  <si>
    <t>lamf</t>
  </si>
  <si>
    <t>Display Path 2 (≤15 chars)</t>
  </si>
  <si>
    <t>apply-now</t>
  </si>
  <si>
    <t>HEADLINES — 15 max | ≤ 30 characters each | Headline 2 pinned as 'LAMF @ 10.5%* p.a.'</t>
  </si>
  <si>
    <t>Pin</t>
  </si>
  <si>
    <t>Headline Copy (edit this column)</t>
  </si>
  <si>
    <t>Chars</t>
  </si>
  <si>
    <t>Limit</t>
  </si>
  <si>
    <t>Status ✓/✗</t>
  </si>
  <si>
    <t>SITELINKS PREVIEW (below the ad)</t>
  </si>
  <si>
    <t>—</t>
  </si>
  <si>
    <t>Looking For A Personal Loan?</t>
  </si>
  <si>
    <t>Apply for LAMF</t>
  </si>
  <si>
    <t>Check your eligibility in minutes</t>
  </si>
  <si>
    <t>★ Pin 2</t>
  </si>
  <si>
    <t>LAMF @ 10.5%* p.a.</t>
  </si>
  <si>
    <t>Calculate Loan Value</t>
  </si>
  <si>
    <t>Know your LAMF limit instantly</t>
  </si>
  <si>
    <t>Smarter Than A Personal Loan</t>
  </si>
  <si>
    <t>Why LAMF?</t>
  </si>
  <si>
    <t>Better than a personal loan</t>
  </si>
  <si>
    <t>MF Units Stay. Cash Arrives.</t>
  </si>
  <si>
    <t>About Shriram Credit</t>
  </si>
  <si>
    <t>SEBI &amp; RBI regulated NBFC</t>
  </si>
  <si>
    <t>Don't Sell MF. Pledge It.</t>
  </si>
  <si>
    <t>100% Digital Process</t>
  </si>
  <si>
    <t>SEBI &amp; RBI Regulated NBFC</t>
  </si>
  <si>
    <t>MOBILE PREVIEW</t>
  </si>
  <si>
    <t xml:space="preserve">  🟢 Sponsored  ·  shriramcredit.com</t>
  </si>
  <si>
    <t>Stay Invested. Access Funds.</t>
  </si>
  <si>
    <t>★ Pin 3</t>
  </si>
  <si>
    <t>Apply Now. Get Funds Fast.</t>
  </si>
  <si>
    <t>Check Eligibility Now</t>
  </si>
  <si>
    <t>Why Pay 18%+ On A Loan?</t>
  </si>
  <si>
    <t>40+ Years Of Trusted Legacy</t>
  </si>
  <si>
    <t>📊 CHARACTER COUNT QUICK REFERENCE</t>
  </si>
  <si>
    <t>No Asset Loss. Just Liquidity</t>
  </si>
  <si>
    <t>Element</t>
  </si>
  <si>
    <t>Max Chars</t>
  </si>
  <si>
    <t>Status Logic</t>
  </si>
  <si>
    <t>Note</t>
  </si>
  <si>
    <t>Get Cash. Stay Invested.</t>
  </si>
  <si>
    <t>Headlines</t>
  </si>
  <si>
    <t>30</t>
  </si>
  <si>
    <t>LEN(copy) ≤ 30</t>
  </si>
  <si>
    <t>Green&lt;27 · Amber 27-30 · Red&gt;30</t>
  </si>
  <si>
    <t>Descriptions</t>
  </si>
  <si>
    <t>90</t>
  </si>
  <si>
    <t>LEN(copy) ≤ 90</t>
  </si>
  <si>
    <t>Target 80-85 chars for best display</t>
  </si>
  <si>
    <t>DESCRIPTIONS — 4 max | ≤ 90 characters each | Description 1 &amp; 4 recommended for pinning</t>
  </si>
  <si>
    <t>Display URL Path</t>
  </si>
  <si>
    <t>15</t>
  </si>
  <si>
    <t>LEN(path) ≤ 15</t>
  </si>
  <si>
    <t>Each path separately</t>
  </si>
  <si>
    <t>Description Copy (edit this column)</t>
  </si>
  <si>
    <t>Sitelink Title</t>
  </si>
  <si>
    <t>25</t>
  </si>
  <si>
    <t>LEN(title) ≤ 25</t>
  </si>
  <si>
    <t>Sitelinks sheet for full list</t>
  </si>
  <si>
    <t>★ Pin 1</t>
  </si>
  <si>
    <t>Skip the personal loan. Pledge your MF units &amp; get funds at 10.5%* p.a. Stay invested.</t>
  </si>
  <si>
    <t>Callout Extension</t>
  </si>
  <si>
    <t>LEN(callout) ≤ 25</t>
  </si>
  <si>
    <t>Extensions sheet</t>
  </si>
  <si>
    <t>MF units lien-marked, not sold. Your portfolio grows while you access the cash you need.</t>
  </si>
  <si>
    <t>100% digital. Fast approval. Apply in minutes &amp; unlock your credit line. No branch visits.</t>
  </si>
  <si>
    <t>📌 PINNING GUIDE</t>
  </si>
  <si>
    <t>Shriram Credit — SEBI &amp; RBI regulated NBFC. 40+ years of legacy. Check eligibility today.</t>
  </si>
  <si>
    <t>HL Pin 1</t>
  </si>
  <si>
    <t>Mirror search intent (e.g. 'Looking For A Personal Loan?')</t>
  </si>
  <si>
    <t>HL Pin 2 ★</t>
  </si>
  <si>
    <t>LAMF @ 10.5%* p.a. — ALWAYS KEEP THIS PINNED</t>
  </si>
  <si>
    <t>HL Pin 3</t>
  </si>
  <si>
    <t>Primary CTA (e.g. 'Apply Now. Get Funds Fast.')</t>
  </si>
  <si>
    <t>Desc Pin 1</t>
  </si>
  <si>
    <t>Rate reframe (leads with 10.5%* p.a. vs competitors)</t>
  </si>
  <si>
    <t>Desc Pin 2</t>
  </si>
  <si>
    <t>Trust + CTA (SEBI/RBI + 40yrs + Check eligibility)</t>
  </si>
  <si>
    <t>📝 NOTE: This sheet shows the 'Personal Loan Intercept' theme. Copy the same structure for each theme: Instant Cash, Emergency Cash, Urgent Money, Low-Interest Loan, Wealth Preservation. Change Campaign Setup (rows 5-11) and rewrite headlines/descriptions per theme.</t>
  </si>
  <si>
    <t>LAMF · GOOGLE AD EXTENSIONS — ALL EXTENSION TYPES</t>
  </si>
  <si>
    <t>Sitelinks · Callouts · Structured Snippets · Image · Promotion · Call · Price Extensions</t>
  </si>
  <si>
    <t>1. SITELINKS (up to 20) | Title ≤25 chars | Desc ≤35 chars each</t>
  </si>
  <si>
    <t>Sitelink Title (≤25)</t>
  </si>
  <si>
    <t>Description Line 1 (≤35)</t>
  </si>
  <si>
    <t>Description Line 2 (≤35)</t>
  </si>
  <si>
    <t>Chars (Title)</t>
  </si>
  <si>
    <t>100% digital — apply from phone</t>
  </si>
  <si>
    <t>Know your LAMF loan limit now</t>
  </si>
  <si>
    <t>Enter MF portfolio value to check</t>
  </si>
  <si>
    <t>https://www.shriramcredit.com/calculator</t>
  </si>
  <si>
    <t>Better rates than personal loans</t>
  </si>
  <si>
    <t>MF units lien-marked, not sold</t>
  </si>
  <si>
    <t>https://www.shriramcredit.com/why-lamf</t>
  </si>
  <si>
    <t>40+ years of trusted legacy</t>
  </si>
  <si>
    <t>https://www.shriramcredit.com/about</t>
  </si>
  <si>
    <t>LAMF Interest Rates</t>
  </si>
  <si>
    <t>10.5%* p.a. — interest on use</t>
  </si>
  <si>
    <t>Pay only for what you withdraw</t>
  </si>
  <si>
    <t>https://www.shriramcredit.com/rates</t>
  </si>
  <si>
    <t>Pledge Your MF Now</t>
  </si>
  <si>
    <t>Simple lien-mark process</t>
  </si>
  <si>
    <t>No redemption — portfolio grows</t>
  </si>
  <si>
    <t>https://www.shriramcredit.com/pledge</t>
  </si>
  <si>
    <t>LAMF for Medical Needs</t>
  </si>
  <si>
    <t>Emergency fund without selling</t>
  </si>
  <si>
    <t>Fast digital approval process</t>
  </si>
  <si>
    <t>LAMF for Education</t>
  </si>
  <si>
    <t>Fund education, stay invested</t>
  </si>
  <si>
    <t>No capital gains tax event</t>
  </si>
  <si>
    <t>2. CALLOUT EXTENSIONS (up to 20) | ≤ 25 characters each</t>
  </si>
  <si>
    <t>Callout Text (≤25 chars)</t>
  </si>
  <si>
    <t>SEBI &amp; RBI Regulated</t>
  </si>
  <si>
    <t>40+ Years Legacy</t>
  </si>
  <si>
    <t>MF Units Not Sold</t>
  </si>
  <si>
    <t>Quick Approval</t>
  </si>
  <si>
    <t>Pay Only On Usage</t>
  </si>
  <si>
    <t>No Capital Gains Tax*</t>
  </si>
  <si>
    <t>No Foreclosure Charges*</t>
  </si>
  <si>
    <t>Zero Processing Fees*</t>
  </si>
  <si>
    <t>Fast Disbursal</t>
  </si>
  <si>
    <t>Stay Invested</t>
  </si>
  <si>
    <t>Lien-Mark, Not Redeem</t>
  </si>
  <si>
    <t>Trusted NBFC</t>
  </si>
  <si>
    <t>Same-Day Approval</t>
  </si>
  <si>
    <t>Wealth Continues</t>
  </si>
  <si>
    <t>No Branch Visit</t>
  </si>
  <si>
    <t>Secure Digital Process</t>
  </si>
  <si>
    <t>Flexible Repayment</t>
  </si>
  <si>
    <t>3. STRUCTURED SNIPPETS | Header type + values ≤ 25 chars each</t>
  </si>
  <si>
    <t>Header Type</t>
  </si>
  <si>
    <t>Value 1</t>
  </si>
  <si>
    <t>Value 2</t>
  </si>
  <si>
    <t>Value 3</t>
  </si>
  <si>
    <t>Value 4</t>
  </si>
  <si>
    <t>Value 5</t>
  </si>
  <si>
    <t>Value 6</t>
  </si>
  <si>
    <t>Value 7</t>
  </si>
  <si>
    <t>Services</t>
  </si>
  <si>
    <t>LAMF</t>
  </si>
  <si>
    <t>Credit Line</t>
  </si>
  <si>
    <t>Loan Pledge</t>
  </si>
  <si>
    <t>Digital Process</t>
  </si>
  <si>
    <t>Features</t>
  </si>
  <si>
    <t>Low Interest Rate</t>
  </si>
  <si>
    <t>MF Units Safe</t>
  </si>
  <si>
    <t>No Redemption</t>
  </si>
  <si>
    <t>100% Digital</t>
  </si>
  <si>
    <t>SEBI Regulated</t>
  </si>
  <si>
    <t>Benefits</t>
  </si>
  <si>
    <t>10.5%* p.a. Rate</t>
  </si>
  <si>
    <t>No Tax Event*</t>
  </si>
  <si>
    <t>No Foreclosure*</t>
  </si>
  <si>
    <t>Portfolio Safe</t>
  </si>
  <si>
    <t>Funds Fast</t>
  </si>
  <si>
    <t>4. IMAGE EXTENSIONS | Specs: 1200×628 (landscape) or 1200×1200 (square)</t>
  </si>
  <si>
    <t>Image Description / Alt Text</t>
  </si>
  <si>
    <t>Dimensions</t>
  </si>
  <si>
    <t>File Format</t>
  </si>
  <si>
    <t>LAMF Rate Hero</t>
  </si>
  <si>
    <t>10.5%* p.a. rate graphic — gold on navy</t>
  </si>
  <si>
    <t>Rate/Offer</t>
  </si>
  <si>
    <t>1200×628</t>
  </si>
  <si>
    <t>JPG/PNG</t>
  </si>
  <si>
    <t>Upload needed</t>
  </si>
  <si>
    <t>Stay Invested Visual</t>
  </si>
  <si>
    <t>MF portfolio graph + cash visual</t>
  </si>
  <si>
    <t>USP</t>
  </si>
  <si>
    <t>Wedding Scenario</t>
  </si>
  <si>
    <t>Happy wedding couple — with LAMF overlay</t>
  </si>
  <si>
    <t>Wedding</t>
  </si>
  <si>
    <t>Education Scenario</t>
  </si>
  <si>
    <t>Student with laptop — education funding</t>
  </si>
  <si>
    <t>Education</t>
  </si>
  <si>
    <t>Square — Rate</t>
  </si>
  <si>
    <t>10.5%* rate badge — square format</t>
  </si>
  <si>
    <t>1200×1200</t>
  </si>
  <si>
    <t>5. PROMOTION EXTENSION | Promotional text ≤ 20 chars</t>
  </si>
  <si>
    <t>Occasion</t>
  </si>
  <si>
    <t>Promo Text (≤20)</t>
  </si>
  <si>
    <t>Start Date</t>
  </si>
  <si>
    <t>End Date</t>
  </si>
  <si>
    <t>None / Ongoing</t>
  </si>
  <si>
    <t>Rates From 10.5%* p.a.</t>
  </si>
  <si>
    <t>Dussehra</t>
  </si>
  <si>
    <t>Rate Special Offer</t>
  </si>
  <si>
    <t>01-Oct</t>
  </si>
  <si>
    <t>15-Oct</t>
  </si>
  <si>
    <t>Financial Year End</t>
  </si>
  <si>
    <t>01-Mar</t>
  </si>
  <si>
    <t>31-Mar</t>
  </si>
  <si>
    <t>LAMF · GOOGLE DISPLAY (RDA) + PERFORMANCE MAX — ASSET COPY</t>
  </si>
  <si>
    <t>Responsive Display: Short HL ≤30 · Long HL ≤90 · Desc ≤90 · Business ≤25 | PMax: Same + additional assets</t>
  </si>
  <si>
    <t>RESPONSIVE DISPLAY ADS (RDA) — LEFT | PMAX ASSETS — RIGHT</t>
  </si>
  <si>
    <t>Display Ad Copy (edit)</t>
  </si>
  <si>
    <t>PMax Asset Copy (edit)</t>
  </si>
  <si>
    <t>SHORT HEADLINES — ≤ 30 chars (min 5, max 15)</t>
  </si>
  <si>
    <t>SHORT HEADLINES — ≤ 30 chars (min 3, max 15)</t>
  </si>
  <si>
    <t>Stay Invested. Get Cash.</t>
  </si>
  <si>
    <t>Pledge MF. Access Funds.</t>
  </si>
  <si>
    <t>Don't Redeem. Just Pledge.</t>
  </si>
  <si>
    <t>MF Units Safe. Cash Ready.</t>
  </si>
  <si>
    <t>40+ Years Of Trust</t>
  </si>
  <si>
    <t>No Asset Loss. Just Cash.</t>
  </si>
  <si>
    <t>LONG HEADLINES — ≤ 90 chars (RDA: 1 req | PMax: up to 5)</t>
  </si>
  <si>
    <t>LONG HEADLINES — ≤ 90 chars (PMax: up to 5)</t>
  </si>
  <si>
    <t>Pledge Your MF — Stay Invested, Access Funds at 10.5%* p.a.</t>
  </si>
  <si>
    <t>Why Break Your Portfolio? Pledge MF Units &amp; Get Cash Instantly.</t>
  </si>
  <si>
    <t>Lower Rate. No Redemption. SEBI &amp; RBI Regulated NBFC Since 1974.</t>
  </si>
  <si>
    <t>Your MF Portfolio Is Your Emergency Fund — Access It Smartly.</t>
  </si>
  <si>
    <t>Don't Sell a Single MF Unit. Pledge It. Get Funds. Stay Invested.</t>
  </si>
  <si>
    <t>DESCRIPTIONS — ≤ 90 chars (min 2, max 5)</t>
  </si>
  <si>
    <t>No capital gains tax. No redemption. Just instant liquidity at a lower rate. Stay invested.</t>
  </si>
  <si>
    <t>No capital gains tax. No redemption. Just instant liquidity at a lower rate. Invested.</t>
  </si>
  <si>
    <t>BUSINESS NAME (≤25) + CTA BUTTON OPTIONS</t>
  </si>
  <si>
    <t>Business Name</t>
  </si>
  <si>
    <t>CTA Options</t>
  </si>
  <si>
    <t>Apply Now | Learn More | Get Quote | Sign Up | Contact Us | Get Offer → Select one per ad</t>
  </si>
  <si>
    <t>📸 IMAGE SPECS: Landscape 1200×628px (1.91:1), Square 1200×1200px (1:1), Portrait 960×1200px (4:5) | Min: 600×314px | Max file: 5MB</t>
  </si>
  <si>
    <t>LAMF · GOOGLE DEMAND GEN — YOUTUBE &amp; DISCOVER COPY</t>
  </si>
  <si>
    <t>Headlines ≤40 chars (up to 5) | Descriptions ≤90 chars (up to 5) | For YouTube Discovery + Google Discover + Gmail</t>
  </si>
  <si>
    <t>DEMAND GEN HEADLINES — ≤ 40 chars each (up to 5)</t>
  </si>
  <si>
    <t>Headline Copy (≤40 chars)</t>
  </si>
  <si>
    <t>Why Break Investments For Cash?</t>
  </si>
  <si>
    <t>LAMF @ 10.5%* p.a. — Stay Invested.</t>
  </si>
  <si>
    <t>Your MF Portfolio = Your Liquidity.</t>
  </si>
  <si>
    <t>Smart Investors Don't Always Redeem.</t>
  </si>
  <si>
    <t>Access Funds Without Selling Your MF.</t>
  </si>
  <si>
    <t>DEMAND GEN DESCRIPTIONS — ≤ 90 chars each (up to 5)</t>
  </si>
  <si>
    <t>Description Copy (≤90 chars)</t>
  </si>
  <si>
    <t>Stay invested while accessing funds. LAMF — pledge your MF, get cash at 10.5%* p.a.</t>
  </si>
  <si>
    <t>Why redeem your MF when you can lien-mark it? Access funds fast. Wealth keeps growing.</t>
  </si>
  <si>
    <t>MF units lien-marked, not sold. No capital gains tax. 100% digital. SEBI regulated NBFC.</t>
  </si>
  <si>
    <t>Your SIP continues. Your goals stay on track. LAMF: the smarter way to access liquidity.</t>
  </si>
  <si>
    <t>Shriram Credit: 40+ years of trust. LAMF at 10.5%* p.a. Apply now — 100% digital.</t>
  </si>
  <si>
    <t>CTA OPTIONS: Learn More | Apply Now | Get Quote | Sign Up | Explore | Shop Now</t>
  </si>
  <si>
    <t>LAMF · META FACEBOOK + INSTAGRAM ADS — COPY + LIVE PREVIEW</t>
  </si>
  <si>
    <t>Primary Text ≤125 chars (rec.) · Headline ≤40 chars · Description ≤30 chars · Preview updates as you type</t>
  </si>
  <si>
    <t>AD SET SETUP</t>
  </si>
  <si>
    <t>📘 FACEBOOK FEED AD PREVIEW — UPDATES AUTOMATICALLY</t>
  </si>
  <si>
    <t>Campaign Objective</t>
  </si>
  <si>
    <t>Lead Generation / Conversions</t>
  </si>
  <si>
    <t>Preview simulates Facebook feed format · Shows V1 primary text, V1 headline, V1 description · Edit copy on left to update</t>
  </si>
  <si>
    <t>Ad Set Name</t>
  </si>
  <si>
    <t>LAMF — Lookalike MF Investors</t>
  </si>
  <si>
    <t>Audience</t>
  </si>
  <si>
    <t>Lookalike (1–3%) of existing MF investor base</t>
  </si>
  <si>
    <t xml:space="preserve">  🔵 Shriram Credit  Sponsored ·  🌐</t>
  </si>
  <si>
    <t>Placement</t>
  </si>
  <si>
    <t>Facebook Feed, Instagram Feed, Stories, Reels</t>
  </si>
  <si>
    <t>Final URL / Landing Page</t>
  </si>
  <si>
    <t>CTA Button</t>
  </si>
  <si>
    <t>Apply Now</t>
  </si>
  <si>
    <t>📷  IMAGE PLACEHOLDER
1200 × 628 px (Landscape)
Facebook Feed / Instagram Feed
[Upload creative to Ads Manager]</t>
  </si>
  <si>
    <t>PRIMARY TEXT — ≤125 chars recommended (500 max) | Write 5 variations for A/B testing</t>
  </si>
  <si>
    <t>Ver</t>
  </si>
  <si>
    <t>Use</t>
  </si>
  <si>
    <t>Primary Text — Edit here (aim ≤125 chars)</t>
  </si>
  <si>
    <t>Rec.</t>
  </si>
  <si>
    <t>V1</t>
  </si>
  <si>
    <t>A/B</t>
  </si>
  <si>
    <t>Skip the personal loan. Your MF portfolio can fund your needs at 10.5%* p.a. — lien-mark your units, get cash, stay invested. 100% digital.</t>
  </si>
  <si>
    <t xml:space="preserve">  SHRIRAMCREDIT.COM</t>
  </si>
  <si>
    <t>V2</t>
  </si>
  <si>
    <t>Why pay 18%+ on a personal loan? With LAMF, pledge your MF units and get funds at 10.5%* p.a. MF units lien-marked, not sold. Apply now.</t>
  </si>
  <si>
    <t>Apply Now ▶</t>
  </si>
  <si>
    <t>V3</t>
  </si>
  <si>
    <t>Rate Focus</t>
  </si>
  <si>
    <t>LAMF @ 10.5%* p.a. — nearly half the cost of a personal loan. Your MF units stay invested while you access instant liquidity. ✓ SEBI &amp; RBI regulated.</t>
  </si>
  <si>
    <t>V4</t>
  </si>
  <si>
    <t>USP Focus</t>
  </si>
  <si>
    <t>You've built a portfolio. Now let it work for you. Pledge your MF units, get funds at 10.5%* p.a. — no redemption, no tax event, no delay. ✓ 100% digital.</t>
  </si>
  <si>
    <t>👍 Like    💬 Comment    ↗ Share</t>
  </si>
  <si>
    <t>V5</t>
  </si>
  <si>
    <t>Trust Focus</t>
  </si>
  <si>
    <t>Shriram Credit — SEBI &amp; RBI regulated NBFC, 40+ years of trust. LAMF: pledge MF units, access funds fast, stay invested. Apply digitally today.</t>
  </si>
  <si>
    <t>📱 INSTAGRAM STORY PREVIEW</t>
  </si>
  <si>
    <t>HEADLINE — ≤40 chars recommended | Appears below the image</t>
  </si>
  <si>
    <t>Story format: 9:16 ratio (1080×1920px) · Headline appears as overlay text · Primary text not shown in Stories · Use short, punchy headline</t>
  </si>
  <si>
    <t>Test</t>
  </si>
  <si>
    <t>LAMF @ 10.5%* p.a. — Stay Invested</t>
  </si>
  <si>
    <t>📊 FACEBOOK COPY SPECS QUICK REF</t>
  </si>
  <si>
    <t>Don't Break Your Portfolio. Pledge It.</t>
  </si>
  <si>
    <t>Asset</t>
  </si>
  <si>
    <t>Recommended</t>
  </si>
  <si>
    <t>Maximum</t>
  </si>
  <si>
    <t>Funds In Minutes. Wealth Intact.</t>
  </si>
  <si>
    <t>Primary Text</t>
  </si>
  <si>
    <t>Rec. 125 chars</t>
  </si>
  <si>
    <t>Max 500 chars</t>
  </si>
  <si>
    <t>Truncated after 125 in feed</t>
  </si>
  <si>
    <t>MF Units Safe. Cash In Hand.</t>
  </si>
  <si>
    <t>Headline</t>
  </si>
  <si>
    <t>Rec. 40 chars</t>
  </si>
  <si>
    <t>Max 255 chars</t>
  </si>
  <si>
    <t>Bold, below image</t>
  </si>
  <si>
    <t>Link Description</t>
  </si>
  <si>
    <t>Rec. 30 chars</t>
  </si>
  <si>
    <t>Max 125 chars</t>
  </si>
  <si>
    <t>Below headline, desktop only</t>
  </si>
  <si>
    <t>Image — Feed</t>
  </si>
  <si>
    <t>1200×628 (1.91:1)</t>
  </si>
  <si>
    <t>1200×1200 (1:1)</t>
  </si>
  <si>
    <t>PNG or JPG, max 30% text</t>
  </si>
  <si>
    <t>LINK DESCRIPTION — ≤30 chars recommended (appears below headline)</t>
  </si>
  <si>
    <t>Story / Reel</t>
  </si>
  <si>
    <t>1080×1920 (9:16)</t>
  </si>
  <si>
    <t>Also 4:5 ok</t>
  </si>
  <si>
    <t>Leave 14% top+bottom safe zone</t>
  </si>
  <si>
    <t>Description (≤30 chars)</t>
  </si>
  <si>
    <t>Pledge MF. Access cash. Stay invested.</t>
  </si>
  <si>
    <t>10.5%* p.a. — lower than any loan.</t>
  </si>
  <si>
    <t>100% digital. Apply in minutes.</t>
  </si>
  <si>
    <t>SEBI &amp; RBI regulated. 40+ yrs trust.</t>
  </si>
  <si>
    <t>No MF sold. No tax. Fast disbursal.</t>
  </si>
  <si>
    <t>LAMF · MICROSOFT BING — RSA COPY + LIVE PREVIEW</t>
  </si>
  <si>
    <t>Same RSA format as Google · 15 Headlines ≤30 chars · 4 Descriptions ≤90 chars · Bing may show slightly different ad formats</t>
  </si>
  <si>
    <t>CAMPAIGN SETUP</t>
  </si>
  <si>
    <t>LAMF — Bing Personal Loan Intercept</t>
  </si>
  <si>
    <t>Ad Group</t>
  </si>
  <si>
    <t>Display Path 1</t>
  </si>
  <si>
    <t>Display Path 2</t>
  </si>
  <si>
    <t>apply</t>
  </si>
  <si>
    <t>BING HEADLINES — 15 max | ≤ 30 characters</t>
  </si>
  <si>
    <t>🔷 BING AD PREVIEW</t>
  </si>
  <si>
    <t>Headline Copy (edit)</t>
  </si>
  <si>
    <t>Auto-updates from copy on left</t>
  </si>
  <si>
    <t xml:space="preserve">  Ad  ·  shriramcredit.com</t>
  </si>
  <si>
    <t>Key Bing difference: Also appears on Yahoo, MSN, LinkedIn Audience Network</t>
  </si>
  <si>
    <t>BING DESCRIPTIONS — 4 max | ≤ 90 characters</t>
  </si>
  <si>
    <t>Description Copy (edit)</t>
  </si>
  <si>
    <t>AD COPY GUIDELINES — CHANNEL + CAMPAIGN REFERENCE</t>
  </si>
  <si>
    <t>Use the dropdown below to filter by channel | Character limits, asset counts, best practices, and compliance rules</t>
  </si>
  <si>
    <t>SELECT CHANNEL →</t>
  </si>
  <si>
    <t>💡 All guidelines shown below</t>
  </si>
  <si>
    <t>Scroll to find your channel section · Character limits are HARD limits · Follow LAMF-specific rules at bottom</t>
  </si>
  <si>
    <t>COMPLETE AD COPY GUIDELINES — ALL CHANNELS</t>
  </si>
  <si>
    <t>Min. Count</t>
  </si>
  <si>
    <t>Max. Count</t>
  </si>
  <si>
    <t>Char Limit</t>
  </si>
  <si>
    <t>Best Practice / Notes</t>
  </si>
  <si>
    <t>Pin 1=intent, Pin 2=LAMF rate, Pin 3=CTA. Use all 15 for best coverage.</t>
  </si>
  <si>
    <t>Description</t>
  </si>
  <si>
    <t>Pin 1=rate reframe, Pin 2=trust+CTA. Aim 80-85 chars.</t>
  </si>
  <si>
    <t>Each path ≤15 chars. Use readable keywords e.g. /lamf /apply-now</t>
  </si>
  <si>
    <t>Minimum 4 sitelinks. Use keyword-rich, action-oriented text.</t>
  </si>
  <si>
    <t>Sitelink Desc</t>
  </si>
  <si>
    <t>Desc lines are optional but improve CTR. Two desc lines per sitelink.</t>
  </si>
  <si>
    <t>Minimum 4. Use specific USPs not generic phrases.</t>
  </si>
  <si>
    <t>Structured Snippet</t>
  </si>
  <si>
    <t>Each value ≤25 chars. Min 3 values per header.</t>
  </si>
  <si>
    <t>Short Headline</t>
  </si>
  <si>
    <t>Min 5 required. Google combines automatically. Include brand name.</t>
  </si>
  <si>
    <t>Long Headline</t>
  </si>
  <si>
    <t>At least 1 required. Make sense standalone — can be only text shown.</t>
  </si>
  <si>
    <t>Min 2 required. Don't repeat long headline content.</t>
  </si>
  <si>
    <t>Must match brand. No trademarked terms of competitors.</t>
  </si>
  <si>
    <t>Same limits as RSA. Min 3, max 15. Aim for 10+.</t>
  </si>
  <si>
    <t>Min 1 required. Max 5.</t>
  </si>
  <si>
    <t>Min 2, max 5. First 2 are required.</t>
  </si>
  <si>
    <t>Required. Must match landing page.</t>
  </si>
  <si>
    <t>Image (Landscape)</t>
  </si>
  <si>
    <t>1.91:1 ratio. Min 600×314. Safe zone: keep text away from edges.</t>
  </si>
  <si>
    <t>Image (Square)</t>
  </si>
  <si>
    <t>1:1 ratio. Also used in Gmail and Discovery.</t>
  </si>
  <si>
    <t>More chars than RSA. Be compelling — this is interruption media.</t>
  </si>
  <si>
    <t>Focus on value prop. YouTube audience — be inspiring, not just informational.</t>
  </si>
  <si>
    <t>Lead Gen / Conv.</t>
  </si>
  <si>
    <t>Recommended ≤125 chars (truncated in feed). Max 500 chars.</t>
  </si>
  <si>
    <t>Recommended ≤40 chars (max 255). Bold text below image.</t>
  </si>
  <si>
    <t>Desktop only. Recommended ≤30 chars (max 125).</t>
  </si>
  <si>
    <t>1.91:1 for feed. Also 1:1 (1200×1200) for square. Max 30% text rule.</t>
  </si>
  <si>
    <t>Story Image/Video</t>
  </si>
  <si>
    <t>1080×1920</t>
  </si>
  <si>
    <t>9:16 ratio. Leave 14% safe zone top + bottom for UI elements.</t>
  </si>
  <si>
    <t>Headline (overlay)</t>
  </si>
  <si>
    <t>Optional overlay text on story creative.</t>
  </si>
  <si>
    <t>Identical to Google RSA limits. Same pin strategy applies.</t>
  </si>
  <si>
    <t>Bing recommends min 2 descriptions.</t>
  </si>
  <si>
    <t>Same as Google. Bing also appears on Yahoo &amp; MSN.</t>
  </si>
  <si>
    <t>🏦 LAMF-SPECIFIC COPY RULES (MUST FOLLOW)</t>
  </si>
  <si>
    <t>Rule</t>
  </si>
  <si>
    <t>Category</t>
  </si>
  <si>
    <t>Requirement</t>
  </si>
  <si>
    <t>RULE 1</t>
  </si>
  <si>
    <t>Product Name</t>
  </si>
  <si>
    <t>Use 'LAMF' or 'Loan Against MF' only. NEVER 'loan against mutual funds' lowercase, 'mutual funds' standalone, or 'mutual fund loans'.</t>
  </si>
  <si>
    <t>RULE 2</t>
  </si>
  <si>
    <t>Rate Mention</t>
  </si>
  <si>
    <t>Always use 10.5%* p.a. with asterisk. Never state '10.5%' without asterisk. Add 'p.a.' always.</t>
  </si>
  <si>
    <t>RULE 3</t>
  </si>
  <si>
    <t>No Redemption USP</t>
  </si>
  <si>
    <t>Phrase as: 'MF units lien-marked, not sold' OR 'No redemption' OR 'Don't sell MF — pledge it'. Never 'MF units deleted/removed'.</t>
  </si>
  <si>
    <t>RULE 4</t>
  </si>
  <si>
    <t>Compliance Asterisks</t>
  </si>
  <si>
    <t>No Foreclosure Charges*, Zero Processing Fees*, No Capital Gains Tax* — ALL need * and compliance review before use.</t>
  </si>
  <si>
    <t>RULE 5</t>
  </si>
  <si>
    <t>Max Loan Amount</t>
  </si>
  <si>
    <t>RULE 6</t>
  </si>
  <si>
    <t>Regulatory Claims</t>
  </si>
  <si>
    <t>SEBI &amp; RBI Regulated NBFC — exact phrasing required. Do not abbreviate or rephrase.</t>
  </si>
  <si>
    <t>RULE 7</t>
  </si>
  <si>
    <t>Competitor Naming</t>
  </si>
  <si>
    <t>Do NOT name specific competitor lenders (HDFC, ICICI, etc.) in any ad copy. Use generic 'personal loans' or '18%+'.</t>
  </si>
  <si>
    <t>RULE 8</t>
  </si>
  <si>
    <t>Pinning Strategy</t>
  </si>
  <si>
    <t>HL Pin 2 = 'LAMF @ 10.5%* p.a.' — this must ALWAYS be pinned as HL2 across ALL Google/Bing search campaigns.</t>
  </si>
  <si>
    <t>📎 OFFICIAL DOCUMENTATION LINKS</t>
  </si>
  <si>
    <t>Google Ads Responsive Search Ads</t>
  </si>
  <si>
    <t>https://support.google.com/google-ads/answer/7684791</t>
  </si>
  <si>
    <t>Google Ads Extensions Guide</t>
  </si>
  <si>
    <t>https://support.google.com/google-ads/answer/2375499</t>
  </si>
  <si>
    <t>Google Performance Max</t>
  </si>
  <si>
    <t>https://support.google.com/google-ads/answer/10724817</t>
  </si>
  <si>
    <t>Meta Ads Specs &amp; Formats</t>
  </si>
  <si>
    <t>https://www.facebook.com/business/ads/ad-format-guide</t>
  </si>
  <si>
    <t>Microsoft Bing Ads Help</t>
  </si>
  <si>
    <t>https://help.ads.microsoft.com/apex/index/3/en/51001</t>
  </si>
  <si>
    <t>ASCI Guidelines India</t>
  </si>
  <si>
    <t>https://www.ascionline.in/asci-code/</t>
  </si>
  <si>
    <t>LAMF · COPY BANK — REUSABLE BUILDING BLOCKS</t>
  </si>
  <si>
    <t>USPs · CTAs · Power Words · Key Phrases · Emotional Triggers — All pre-approved for LAMF use</t>
  </si>
  <si>
    <t>📌 CORE USPs — USE THESE IN ALL COPY</t>
  </si>
  <si>
    <t>Label</t>
  </si>
  <si>
    <t>Copy / Phrase / Description</t>
  </si>
  <si>
    <t>Rate Advantage</t>
  </si>
  <si>
    <t>LAMF @ 10.5%* p.a. — interest only on amount utilized</t>
  </si>
  <si>
    <t>MF units lien-marked, not sold — portfolio continues to grow</t>
  </si>
  <si>
    <t>No Tax Trigger</t>
  </si>
  <si>
    <t>No capital gains tax event — no redemption = no tax</t>
  </si>
  <si>
    <t>Speed</t>
  </si>
  <si>
    <t>100% digital process — fast approval, fast disbursal</t>
  </si>
  <si>
    <t>Regulation</t>
  </si>
  <si>
    <t>SEBI &amp; RBI regulated NBFC — trusted and compliant</t>
  </si>
  <si>
    <t>Legacy</t>
  </si>
  <si>
    <t>40+ years of trust — Shriram Credit since 1974</t>
  </si>
  <si>
    <t>Portfolio Safety</t>
  </si>
  <si>
    <t>Investments intact while you access funds</t>
  </si>
  <si>
    <t>Flexibility</t>
  </si>
  <si>
    <t>Interest only on the amount you use, not full limit</t>
  </si>
  <si>
    <t>Comparison</t>
  </si>
  <si>
    <t>Significantly lower rate than personal loans (typically 18–24%)</t>
  </si>
  <si>
    <t>🎯 CTA BANK — CALL-TO-ACTION OPTIONS</t>
  </si>
  <si>
    <t>Primary Conversion</t>
  </si>
  <si>
    <t>Eligibility Check</t>
  </si>
  <si>
    <t>Check Eligibility</t>
  </si>
  <si>
    <t>Value Discovery</t>
  </si>
  <si>
    <t>Check Your Loan Value</t>
  </si>
  <si>
    <t>Feature-Led</t>
  </si>
  <si>
    <t>Unlock a Credit Line</t>
  </si>
  <si>
    <t>Ownership-Led</t>
  </si>
  <si>
    <t>Unlock My Funds</t>
  </si>
  <si>
    <t>Tool CTA</t>
  </si>
  <si>
    <t>Calculate LAMF Eligibility</t>
  </si>
  <si>
    <t>Action-First</t>
  </si>
  <si>
    <t>Pledge Now</t>
  </si>
  <si>
    <t>Short Mobile</t>
  </si>
  <si>
    <t>Pledge MF</t>
  </si>
  <si>
    <t>Limit Discovery</t>
  </si>
  <si>
    <t>Unlock Your Credit Limit</t>
  </si>
  <si>
    <t>Speed-Led</t>
  </si>
  <si>
    <t>Get Approved in 5 Minutes</t>
  </si>
  <si>
    <t>Benefit Pair</t>
  </si>
  <si>
    <t>Get Cash, Stay Invested</t>
  </si>
  <si>
    <t>Soft Entry</t>
  </si>
  <si>
    <t>Learn More About LAMF</t>
  </si>
  <si>
    <t>⚡ POWER WORDS &amp; EMOTIONAL TRIGGERS</t>
  </si>
  <si>
    <t>Urgency</t>
  </si>
  <si>
    <t>Instantly · Fast · Quick · Now · Today · Minutes</t>
  </si>
  <si>
    <t>Safety</t>
  </si>
  <si>
    <t>Secure · Protected · Safe · Intact · Preserved · Lien-Marked</t>
  </si>
  <si>
    <t>Trust</t>
  </si>
  <si>
    <t>Trusted · Regulated · Legacy · SEBI · RBI · 40+ Years</t>
  </si>
  <si>
    <t>Smart/Savvy</t>
  </si>
  <si>
    <t>Smarter · Intelligent · Strategic · Wise · Efficient</t>
  </si>
  <si>
    <t>Fear of Loss</t>
  </si>
  <si>
    <t>Don't Break · Don't Sell · Don't Redeem · Protect</t>
  </si>
  <si>
    <t>Exclusivity</t>
  </si>
  <si>
    <t>Your Portfolio · Your Wealth · Your Future · Your Goals</t>
  </si>
  <si>
    <t>Better than · Unlike loans · vs personal loan · smarter</t>
  </si>
  <si>
    <t>Simplicity</t>
  </si>
  <si>
    <t>Simple · Easy · Digital · Paperless · No Branch Visit</t>
  </si>
  <si>
    <t>💡 LAMF KEY MESSAGES — BY AUDIENCE NEED</t>
  </si>
  <si>
    <t>Personal Loan Seeker</t>
  </si>
  <si>
    <t>LAMF @ 10.5%* p.a. — significantly lower than personal loans. Stay invested while getting funds.</t>
  </si>
  <si>
    <t>Emergency Need</t>
  </si>
  <si>
    <t>Your MF portfolio is your emergency fund. Pledge it. Get cash instantly. Investments intact.</t>
  </si>
  <si>
    <t>Wedding / Event</t>
  </si>
  <si>
    <t>Fund life's milestones without breaking your portfolio. LAMF — pledge, celebrate, stay invested.</t>
  </si>
  <si>
    <t>Fund education goals without selling your SIP. LAMF: lien-mark MF, access funds, keep compounding.</t>
  </si>
  <si>
    <t>Smart investors don't always sell. Pledge your MF instead. No redemption. No capital gains tax.</t>
  </si>
  <si>
    <t>Wealth Preservation</t>
  </si>
  <si>
    <t>Your wealth shouldn't stop working while you access liquidity. LAMF keeps both intact.</t>
  </si>
  <si>
    <t>Rate Sensitive</t>
  </si>
  <si>
    <t>Personal loans charge 18–24%. LAMF starts at 10.5%* p.a. The math is clear. Switch.</t>
  </si>
  <si>
    <t>Trust / Credibility</t>
  </si>
  <si>
    <t>Shriram Credit: SEBI &amp; RBI regulated NBFC, 40+ years of legacy. LAMF — trusted liquidity.</t>
  </si>
  <si>
    <t>🚫 WORDS / PHRASES TO AVOID</t>
  </si>
  <si>
    <t>Forbidden — Product Name</t>
  </si>
  <si>
    <t>'mutual fund loans', 'loan against mutual funds' (lowercase), 'MF loans', 'mutual fund borrowing'</t>
  </si>
  <si>
    <t>Forbidden — Rate</t>
  </si>
  <si>
    <t>'10.5%' without asterisk, '10.5 percent', 'lowest rate' (superlative claim)</t>
  </si>
  <si>
    <t>Forbidden — Competitor</t>
  </si>
  <si>
    <t>Any specific bank/NBFC/fintech name comparison (e.g. 'better than HDFC')</t>
  </si>
  <si>
    <t>Forbidden — Guarantee</t>
  </si>
  <si>
    <t>'guaranteed approval', 'guaranteed rate', 'no rejection'</t>
  </si>
  <si>
    <t>Forbidden — Superlatives</t>
  </si>
  <si>
    <t>'best', 'lowest', 'fastest', '#1' — unless backed by documented evidence</t>
  </si>
  <si>
    <t>Caution — Compliance</t>
  </si>
  <si>
    <t>No Foreclosure Charges*, Zero Fees*, No Capital Gains* — needs compliance sign-off</t>
  </si>
  <si>
    <t>LAMF · CONTENT TRACKER — AD COPY STATUS DASHBOARD</t>
  </si>
  <si>
    <t>Track copy status per ad unit · Assign to team members · Manage review and approval workflow</t>
  </si>
  <si>
    <t>📊 TOTALS  |  Not Started: =COUNTIF(H6:H50,"Not Started")  |  In Progress: =COUNTIF(H6:H50,"In Progress")  |  Review: =COUNTIF(H6:H50,"Review")  |  Approved: =COUNTIF(H6:H50,"Approved")  |  Live: =COUNTIF(H6:H50,"Live")</t>
  </si>
  <si>
    <t>Ad Unit / Element</t>
  </si>
  <si>
    <t>Due Date</t>
  </si>
  <si>
    <t>Reviewer</t>
  </si>
  <si>
    <t>Review Date</t>
  </si>
  <si>
    <t>Headlines (15) + Descriptions (4)</t>
  </si>
  <si>
    <t>Extensions</t>
  </si>
  <si>
    <t>All Campaigns</t>
  </si>
  <si>
    <t>Sitelinks (8) + Callouts (20)</t>
  </si>
  <si>
    <t>Structured Snippets + Promos</t>
  </si>
  <si>
    <t>Short HLs (10) + Long HLs (5) + Descs (5)</t>
  </si>
  <si>
    <t>LAMF — PMax</t>
  </si>
  <si>
    <t>All asset groups — HLs + Descs + Images</t>
  </si>
  <si>
    <t>HLs (5) + Descs (5) per variation</t>
  </si>
  <si>
    <t>Primary Text V1-V5 + HL V1-V5</t>
  </si>
  <si>
    <t>LAMF — FB Awareness</t>
  </si>
  <si>
    <t>Story overlay text (3 variations)</t>
  </si>
  <si>
    <t>WORKFLOW GUIDE</t>
  </si>
  <si>
    <t>1. Not Started</t>
  </si>
  <si>
    <t>Brief not yet distributed to content team</t>
  </si>
  <si>
    <t>2. In Progress</t>
  </si>
  <si>
    <t>Content team is writing copy — check this sheet for progress</t>
  </si>
  <si>
    <t>3. Review</t>
  </si>
  <si>
    <t>Copy submitted — marketer / brand lead to review</t>
  </si>
  <si>
    <t>4. Approved</t>
  </si>
  <si>
    <t>Copy approved — ready for upload to ad platform</t>
  </si>
  <si>
    <t>5. Live</t>
  </si>
  <si>
    <t>Ad is running — track performance and update copy as needed</t>
  </si>
  <si>
    <t>LAMF · SAMPLE ADS + COMPETITOR REFERENCE</t>
  </si>
  <si>
    <t>Sample ad formats · Competitor observation · LAMF benchmark copy · Structure reference</t>
  </si>
  <si>
    <t>SAMPLE LAMF GOOGLE SEARCH AD — 'PERSONAL LOAN INTERCEPT' THEME</t>
  </si>
  <si>
    <t>✅ STRONG AD EXAMPLE — Use this as a benchmark for writing all Google Search ads</t>
  </si>
  <si>
    <t>Headline line:</t>
  </si>
  <si>
    <t>Looking For A Personal Loan? | LAMF @ 10.5%* p.a. | Smarter Than A Personal Loan</t>
  </si>
  <si>
    <t>Blue text · max 3 HLs shown · 30 chars each ✓</t>
  </si>
  <si>
    <t>URL line:</t>
  </si>
  <si>
    <t>Ad · shriramcredit.com › lamf › apply-now</t>
  </si>
  <si>
    <t>Green/grey · display URL with paths</t>
  </si>
  <si>
    <t>Description:</t>
  </si>
  <si>
    <t>Skip the personal loan. Pledge your MF units &amp; get funds at 10.5%* p.a. Stay invested. Shriram Credit — SEBI &amp; RBI regulated NBFC. 40+ years of legacy.</t>
  </si>
  <si>
    <t>Two desc lines joined · max 90 chars each ✓</t>
  </si>
  <si>
    <t>Sitelinks:</t>
  </si>
  <si>
    <t>Apply for LAMF | Calculate Loan Value | Why LAMF? | About Shriram Credit</t>
  </si>
  <si>
    <t>4 sitelinks shown below main ad</t>
  </si>
  <si>
    <t>Callouts:</t>
  </si>
  <si>
    <t>LAMF @ 10.5%* p.a.  100% Digital  SEBI &amp; RBI Regulated  MF Units Not Sold  Quick Approval</t>
  </si>
  <si>
    <t>Callout extensions · 25 chars max</t>
  </si>
  <si>
    <t>SAMPLE LAMF FACEBOOK AD — 'PERSONAL LOAN INTERCEPT' THEME</t>
  </si>
  <si>
    <t>✅ STRONG AD EXAMPLE — Use as benchmark for all Facebook / Instagram ads</t>
  </si>
  <si>
    <t>Primary Text (V1):</t>
  </si>
  <si>
    <t>Why pay 18%+ on a personal loan? With LAMF, pledge your MF units and get funds at 10.5%* p.a. MF units lien-marked, not sold. Apply now. [121 chars ✓]</t>
  </si>
  <si>
    <t>Leads with rate pain point · product name · rate · USP · CTA</t>
  </si>
  <si>
    <t>Headline:</t>
  </si>
  <si>
    <t>LAMF @ 10.5%* p.a. — Stay Invested [35 chars ✓]</t>
  </si>
  <si>
    <t>Product + rate + key USP · under 40 chars ✓</t>
  </si>
  <si>
    <t>Link Desc:</t>
  </si>
  <si>
    <t>Pledge MF. Access cash. Stay invested. [37 chars ✓]</t>
  </si>
  <si>
    <t>Triple benefit in one line</t>
  </si>
  <si>
    <t>CTA Button:</t>
  </si>
  <si>
    <t>Use Apply Now for lead gen / conversion objectives</t>
  </si>
  <si>
    <t>Image Spec:</t>
  </si>
  <si>
    <t>1200×628 px (landscape) — gold/navy brand visual with rate badge</t>
  </si>
  <si>
    <t>Include ₹ symbol and rate prominently in creative</t>
  </si>
  <si>
    <t>COMPETITOR OBSERVATION — PERSONAL LOAN SEARCH ADS (BENCHMARK)</t>
  </si>
  <si>
    <t>⚠️ Competitor analysis for strategic reference only. Do NOT copy competitor copy. Use to identify gaps and differentiators.</t>
  </si>
  <si>
    <t>Competitor Type</t>
  </si>
  <si>
    <t>Key Angles Used</t>
  </si>
  <si>
    <t>Their Weakness</t>
  </si>
  <si>
    <t>LAMF Advantage</t>
  </si>
  <si>
    <t>Personal Loan Apps
(Fintech)</t>
  </si>
  <si>
    <t>Up to ₹15L · Zero Documentation · Instant Disbursal</t>
  </si>
  <si>
    <t>High rates (18–24%) · No mention of cost · No wealth preservation</t>
  </si>
  <si>
    <t>LAMF: 10.5%* rate + stay invested = cost AND wealth advantage</t>
  </si>
  <si>
    <t>Bank Personal Loans</t>
  </si>
  <si>
    <t>Trusted brand · Low EMI · Pre-approved</t>
  </si>
  <si>
    <t>High processing fees · Asset sale not needed (but they don't offer LAMF)</t>
  </si>
  <si>
    <t>LAMF: No redemption + lower rate + 100% digital vs branch</t>
  </si>
  <si>
    <t>NBFC Personal Loans</t>
  </si>
  <si>
    <t>Fast approval · Flexible tenures · Minimal docs</t>
  </si>
  <si>
    <t>Still high rate vs LAMF · No portfolio preservation benefit</t>
  </si>
  <si>
    <t>LAMF: Smarter product — same speed, far lower cost</t>
  </si>
  <si>
    <t>📸 SCREENSHOTS &amp; VISUALS — PASTE HERE</t>
  </si>
  <si>
    <t>Insert competitor screenshots, creative mockups, or sample ad images here. Right-click → Insert Image or drag and drop.</t>
  </si>
  <si>
    <t>[Placeholder: Competitor Google Ad Screenshot]</t>
  </si>
  <si>
    <t>[Placeholder: LAMF Creative Mockup — 1200×628]</t>
  </si>
  <si>
    <t>Up to ₹2 Cr*</t>
  </si>
  <si>
    <t>Get Funds Up To ₹2 Cr*</t>
  </si>
  <si>
    <t>Up To ₹2 Cr*</t>
  </si>
  <si>
    <t>State as 'up to ₹2 Cr*' with asterisk. Subject to portfolio value and eligibility.</t>
  </si>
  <si>
    <t>Funds up to ₹2 Cr* based on MF portfolio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</si>
</sst>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sz val="9"/>
      <color rgb="FF1A2B4A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8"/>
      <color rgb="FF666666"/>
      <name val="Arial"/>
      <charset val="1"/>
    </font>
    <font>
      <b/>
      <sz val="9"/>
      <color rgb="FF1A1A1A"/>
      <name val="Arial"/>
      <charset val="1"/>
    </font>
    <font>
      <sz val="9"/>
      <color rgb="FF1A1A1A"/>
      <name val="Arial"/>
      <charset val="1"/>
    </font>
    <font>
      <b/>
      <sz val="9"/>
      <color rgb="FF1A2B4A"/>
      <name val="Arial"/>
      <charset val="1"/>
    </font>
    <font>
      <b/>
      <sz val="9"/>
      <color rgb="FF2E4A72"/>
      <name val="Arial"/>
      <charset val="1"/>
    </font>
    <font>
      <sz val="8"/>
      <color rgb="FF1A2B4A"/>
      <name val="Arial"/>
      <charset val="1"/>
    </font>
    <font>
      <b/>
      <sz val="13"/>
      <color rgb="FFFFFFFF"/>
      <name val="Arial"/>
      <charset val="1"/>
    </font>
    <font>
      <sz val="8"/>
      <color rgb="FFE65100"/>
      <name val="Arial"/>
      <charset val="1"/>
    </font>
    <font>
      <b/>
      <sz val="12"/>
      <color rgb="FF1A6B1A"/>
      <name val="Arial"/>
      <charset val="1"/>
    </font>
    <font>
      <b/>
      <sz val="8"/>
      <color rgb="FF2E4A72"/>
      <name val="Arial"/>
      <charset val="1"/>
    </font>
    <font>
      <sz val="8"/>
      <color rgb="FF006621"/>
      <name val="Arial"/>
      <charset val="1"/>
    </font>
    <font>
      <u/>
      <sz val="12"/>
      <color rgb="FF1A0DAB"/>
      <name val="Arial"/>
      <charset val="1"/>
    </font>
    <font>
      <sz val="9"/>
      <color rgb="FF006621"/>
      <name val="Arial"/>
      <charset val="1"/>
    </font>
    <font>
      <sz val="9"/>
      <color rgb="FF545454"/>
      <name val="Arial"/>
      <charset val="1"/>
    </font>
    <font>
      <sz val="9"/>
      <color rgb="FF666666"/>
      <name val="Arial"/>
      <charset val="1"/>
    </font>
    <font>
      <b/>
      <sz val="10"/>
      <color rgb="FF1A1A1A"/>
      <name val="Arial"/>
      <charset val="1"/>
    </font>
    <font>
      <u/>
      <sz val="9"/>
      <color rgb="FF1A0DAB"/>
      <name val="Arial"/>
      <charset val="1"/>
    </font>
    <font>
      <sz val="8"/>
      <color rgb="FF545454"/>
      <name val="Arial"/>
      <charset val="1"/>
    </font>
    <font>
      <b/>
      <sz val="9"/>
      <color rgb="FFC8A951"/>
      <name val="Arial"/>
      <charset val="1"/>
    </font>
    <font>
      <u/>
      <sz val="11"/>
      <color rgb="FF1A0DAB"/>
      <name val="Arial"/>
      <charset val="1"/>
    </font>
    <font>
      <b/>
      <sz val="8"/>
      <color rgb="FFFFFFFF"/>
      <name val="Arial"/>
      <charset val="1"/>
    </font>
    <font>
      <sz val="8"/>
      <color rgb="FF1A1A1A"/>
      <name val="Arial"/>
      <charset val="1"/>
    </font>
    <font>
      <sz val="8"/>
      <color rgb="FF1A0DAB"/>
      <name val="Arial"/>
      <charset val="1"/>
    </font>
    <font>
      <b/>
      <sz val="9"/>
      <color rgb="FF1877F2"/>
      <name val="Arial"/>
      <charset val="1"/>
    </font>
    <font>
      <sz val="9"/>
      <color rgb="FF050505"/>
      <name val="Arial"/>
      <charset val="1"/>
    </font>
    <font>
      <i/>
      <sz val="9"/>
      <color rgb="FF65676B"/>
      <name val="Arial"/>
      <charset val="1"/>
    </font>
    <font>
      <sz val="8"/>
      <color rgb="FF65676B"/>
      <name val="Arial"/>
      <charset val="1"/>
    </font>
    <font>
      <b/>
      <sz val="11"/>
      <color rgb="FF050505"/>
      <name val="Arial"/>
      <charset val="1"/>
    </font>
    <font>
      <u/>
      <sz val="11"/>
      <color rgb="FF0078D4"/>
      <name val="Arial"/>
      <charset val="1"/>
    </font>
    <font>
      <sz val="9"/>
      <color rgb="FF212121"/>
      <name val="Arial"/>
      <charset val="1"/>
    </font>
    <font>
      <b/>
      <sz val="10"/>
      <color rgb="FF1A2B4A"/>
      <name val="Arial"/>
      <charset val="1"/>
    </font>
    <font>
      <sz val="10"/>
      <color rgb="FF1A2B4A"/>
      <name val="Arial"/>
      <charset val="1"/>
    </font>
    <font>
      <b/>
      <sz val="9"/>
      <color rgb="FFCC0000"/>
      <name val="Arial"/>
      <charset val="1"/>
    </font>
    <font>
      <sz val="9"/>
      <color rgb="FF1A0DAB"/>
      <name val="Arial"/>
      <charset val="1"/>
    </font>
    <font>
      <b/>
      <sz val="9"/>
      <color rgb="FF1A6B1A"/>
      <name val="Arial"/>
      <charset val="1"/>
    </font>
    <font>
      <sz val="9"/>
      <color rgb="FF1877F2"/>
      <name val="Arial"/>
      <charset val="1"/>
    </font>
    <font>
      <b/>
      <sz val="8"/>
      <color rgb="FFCC0000"/>
      <name val="Arial"/>
      <charset val="1"/>
    </font>
    <font>
      <sz val="8"/>
      <color rgb="FF999999"/>
      <name val="Arial"/>
      <charset val="1"/>
    </font>
  </fonts>
  <fills count="22">
    <fill>
      <patternFill patternType="none"/>
    </fill>
    <fill>
      <patternFill patternType="gray125"/>
    </fill>
    <fill>
      <patternFill patternType="solid">
        <fgColor rgb="FF1A2B4A"/>
        <bgColor rgb="FF212121"/>
      </patternFill>
    </fill>
    <fill>
      <patternFill patternType="solid">
        <fgColor rgb="FFF5EDD6"/>
        <bgColor rgb="FFFFF3E0"/>
      </patternFill>
    </fill>
    <fill>
      <patternFill patternType="solid">
        <fgColor rgb="FF2E4A72"/>
        <bgColor rgb="FF37474F"/>
      </patternFill>
    </fill>
    <fill>
      <patternFill patternType="solid">
        <fgColor rgb="FFFFFFFF"/>
        <bgColor rgb="FFFFFBFB"/>
      </patternFill>
    </fill>
    <fill>
      <patternFill patternType="solid">
        <fgColor rgb="FFF7F7F7"/>
        <bgColor rgb="FFF0F2F5"/>
      </patternFill>
    </fill>
    <fill>
      <patternFill patternType="solid">
        <fgColor rgb="FFFFF3E0"/>
        <bgColor rgb="FFFFF0F6"/>
      </patternFill>
    </fill>
    <fill>
      <patternFill patternType="solid">
        <fgColor rgb="FFEAF4FF"/>
        <bgColor rgb="FFF0F2F5"/>
      </patternFill>
    </fill>
    <fill>
      <patternFill patternType="solid">
        <fgColor rgb="FFE8F5E9"/>
        <bgColor rgb="FFE0F2F1"/>
      </patternFill>
    </fill>
    <fill>
      <patternFill patternType="solid">
        <fgColor rgb="FFD6E4F0"/>
        <bgColor rgb="FFDADCE0"/>
      </patternFill>
    </fill>
    <fill>
      <patternFill patternType="solid">
        <fgColor rgb="FFAD1457"/>
        <bgColor rgb="FFCC0000"/>
      </patternFill>
    </fill>
    <fill>
      <patternFill patternType="solid">
        <fgColor rgb="FFFFF0F6"/>
        <bgColor rgb="FFF7F7F7"/>
      </patternFill>
    </fill>
    <fill>
      <patternFill patternType="solid">
        <fgColor rgb="FF1877F2"/>
        <bgColor rgb="FF0078D4"/>
      </patternFill>
    </fill>
    <fill>
      <patternFill patternType="solid">
        <fgColor rgb="FFF0F2F5"/>
        <bgColor rgb="FFEEEEEE"/>
      </patternFill>
    </fill>
    <fill>
      <patternFill patternType="solid">
        <fgColor rgb="FF0078D4"/>
        <bgColor rgb="FF1877F2"/>
      </patternFill>
    </fill>
    <fill>
      <patternFill patternType="solid">
        <fgColor rgb="FFFCE4EC"/>
        <bgColor rgb="FFFFE8E8"/>
      </patternFill>
    </fill>
    <fill>
      <patternFill patternType="solid">
        <fgColor rgb="FFF3E5F5"/>
        <bgColor rgb="FFFCE4EC"/>
      </patternFill>
    </fill>
    <fill>
      <patternFill patternType="solid">
        <fgColor rgb="FFE0F2F1"/>
        <bgColor rgb="FFE8F5E9"/>
      </patternFill>
    </fill>
    <fill>
      <patternFill patternType="solid">
        <fgColor rgb="FFCC0000"/>
        <bgColor rgb="FFAD1457"/>
      </patternFill>
    </fill>
    <fill>
      <patternFill patternType="solid">
        <fgColor rgb="FFFFE8E8"/>
        <bgColor rgb="FFFCE4EC"/>
      </patternFill>
    </fill>
    <fill>
      <patternFill patternType="solid">
        <fgColor rgb="FFFFFBFB"/>
        <bgColor rgb="FFFFFFFF"/>
      </patternFill>
    </fill>
  </fills>
  <borders count="13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DADCE0"/>
      </left>
      <right style="medium">
        <color rgb="FFDADCE0"/>
      </right>
      <top style="medium">
        <color rgb="FFDADCE0"/>
      </top>
      <bottom style="thin">
        <color rgb="FFEEEEEE"/>
      </bottom>
      <diagonal/>
    </border>
    <border>
      <left style="medium">
        <color rgb="FFDADCE0"/>
      </left>
      <right style="medium">
        <color rgb="FFDADCE0"/>
      </right>
      <top style="thin">
        <color rgb="FFEEEEEE"/>
      </top>
      <bottom style="thin">
        <color rgb="FFEEEEEE"/>
      </bottom>
      <diagonal/>
    </border>
    <border>
      <left style="medium">
        <color rgb="FFDADCE0"/>
      </left>
      <right style="medium">
        <color rgb="FFDADCE0"/>
      </right>
      <top style="thin">
        <color rgb="FFEEEEEE"/>
      </top>
      <bottom style="medium">
        <color rgb="FFDADCE0"/>
      </bottom>
      <diagonal/>
    </border>
    <border>
      <left style="medium">
        <color rgb="FFDADCE0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rgb="FFEEEEEE"/>
      </left>
      <right style="medium">
        <color rgb="FFDADCE0"/>
      </right>
      <top style="thin">
        <color rgb="FFEEEEEE"/>
      </top>
      <bottom style="thin">
        <color rgb="FFEEEEEE"/>
      </bottom>
      <diagonal/>
    </border>
    <border>
      <left style="medium">
        <color rgb="FFDADCE0"/>
      </left>
      <right style="thin">
        <color rgb="FFEEEEEE"/>
      </right>
      <top style="thin">
        <color rgb="FFEEEEEE"/>
      </top>
      <bottom style="medium">
        <color rgb="FFDADCE0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medium">
        <color rgb="FFDADCE0"/>
      </bottom>
      <diagonal/>
    </border>
    <border>
      <left style="thin">
        <color rgb="FFEEEEEE"/>
      </left>
      <right style="medium">
        <color rgb="FFDADCE0"/>
      </right>
      <top style="thin">
        <color rgb="FFEEEEEE"/>
      </top>
      <bottom style="medium">
        <color rgb="FFDADCE0"/>
      </bottom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medium">
        <color rgb="FF0078D4"/>
      </left>
      <right/>
      <top style="medium">
        <color rgb="FF0078D4"/>
      </top>
      <bottom style="medium">
        <color rgb="FF0078D4"/>
      </bottom>
      <diagonal/>
    </border>
  </borders>
  <cellStyleXfs count="1">
    <xf numFmtId="0" fontId="0" fillId="0" borderId="0"/>
  </cellStyleXfs>
  <cellXfs count="158">
    <xf numFmtId="0" fontId="0" fillId="0" borderId="0" xfId="0"/>
    <xf numFmtId="0" fontId="0" fillId="0" borderId="0" xfId="0" applyAlignment="1"/>
    <xf numFmtId="0" fontId="4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19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left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7" fillId="7" borderId="2" xfId="0" applyFont="1" applyFill="1" applyBorder="1" applyAlignment="1">
      <alignment horizontal="left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6" fillId="6" borderId="2" xfId="0" applyFont="1" applyFill="1" applyBorder="1" applyAlignment="1">
      <alignment horizontal="left" vertical="center" wrapText="1"/>
    </xf>
    <xf numFmtId="0" fontId="26" fillId="5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27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6" borderId="2" xfId="0" applyFont="1" applyFill="1" applyBorder="1" applyAlignment="1">
      <alignment horizontal="center" vertical="center" wrapText="1"/>
    </xf>
    <xf numFmtId="0" fontId="4" fillId="13" borderId="11" xfId="0" applyFont="1" applyFill="1" applyBorder="1" applyAlignment="1">
      <alignment horizontal="center" vertical="center"/>
    </xf>
    <xf numFmtId="0" fontId="0" fillId="0" borderId="7" xfId="0" applyBorder="1" applyAlignment="1"/>
    <xf numFmtId="0" fontId="25" fillId="13" borderId="2" xfId="0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center" vertical="center" wrapText="1"/>
    </xf>
    <xf numFmtId="0" fontId="26" fillId="8" borderId="2" xfId="0" applyFont="1" applyFill="1" applyBorder="1" applyAlignment="1">
      <alignment horizontal="left" vertical="center" wrapText="1"/>
    </xf>
    <xf numFmtId="0" fontId="26" fillId="8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6" fillId="17" borderId="2" xfId="0" applyFont="1" applyFill="1" applyBorder="1" applyAlignment="1">
      <alignment horizontal="left" vertical="center" wrapText="1"/>
    </xf>
    <xf numFmtId="0" fontId="7" fillId="17" borderId="2" xfId="0" applyFont="1" applyFill="1" applyBorder="1" applyAlignment="1">
      <alignment horizontal="left" vertical="center" wrapText="1"/>
    </xf>
    <xf numFmtId="0" fontId="7" fillId="17" borderId="2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left" vertical="center" wrapText="1"/>
    </xf>
    <xf numFmtId="0" fontId="7" fillId="18" borderId="2" xfId="0" applyFont="1" applyFill="1" applyBorder="1" applyAlignment="1">
      <alignment horizontal="left" vertical="center" wrapText="1"/>
    </xf>
    <xf numFmtId="0" fontId="7" fillId="18" borderId="2" xfId="0" applyFont="1" applyFill="1" applyBorder="1" applyAlignment="1">
      <alignment horizontal="center" vertical="center" wrapText="1"/>
    </xf>
    <xf numFmtId="0" fontId="37" fillId="20" borderId="2" xfId="0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horizontal="left" vertical="center" wrapText="1"/>
    </xf>
    <xf numFmtId="0" fontId="37" fillId="21" borderId="2" xfId="0" applyFont="1" applyFill="1" applyBorder="1" applyAlignment="1">
      <alignment horizontal="center" vertical="center" wrapText="1"/>
    </xf>
    <xf numFmtId="0" fontId="6" fillId="21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5" fillId="16" borderId="2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horizontal="center" vertical="center" wrapText="1"/>
    </xf>
    <xf numFmtId="0" fontId="7" fillId="20" borderId="2" xfId="0" applyFont="1" applyFill="1" applyBorder="1" applyAlignment="1">
      <alignment horizontal="left" vertical="center" wrapText="1"/>
    </xf>
    <xf numFmtId="0" fontId="6" fillId="20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38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0" fillId="8" borderId="2" xfId="0" applyFont="1" applyFill="1" applyBorder="1" applyAlignment="1">
      <alignment horizontal="left" vertical="center" wrapText="1"/>
    </xf>
    <xf numFmtId="0" fontId="40" fillId="5" borderId="2" xfId="0" applyFont="1" applyFill="1" applyBorder="1" applyAlignment="1">
      <alignment horizontal="left" vertical="center" wrapText="1"/>
    </xf>
    <xf numFmtId="0" fontId="4" fillId="19" borderId="2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7" borderId="0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center" vertical="center"/>
    </xf>
    <xf numFmtId="0" fontId="12" fillId="7" borderId="0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15" fillId="5" borderId="4" xfId="0" applyFont="1" applyFill="1" applyBorder="1" applyAlignment="1">
      <alignment horizontal="left" vertical="center" wrapText="1"/>
    </xf>
    <xf numFmtId="0" fontId="24" fillId="5" borderId="4" xfId="0" applyFont="1" applyFill="1" applyBorder="1" applyAlignment="1">
      <alignment horizontal="left" vertical="center"/>
    </xf>
    <xf numFmtId="0" fontId="18" fillId="5" borderId="5" xfId="0" applyFont="1" applyFill="1" applyBorder="1" applyAlignment="1">
      <alignment horizontal="left" vertical="center" wrapText="1"/>
    </xf>
    <xf numFmtId="0" fontId="21" fillId="5" borderId="6" xfId="0" applyFont="1" applyFill="1" applyBorder="1" applyAlignment="1">
      <alignment horizontal="left" vertical="center"/>
    </xf>
    <xf numFmtId="0" fontId="22" fillId="5" borderId="7" xfId="0" applyFont="1" applyFill="1" applyBorder="1" applyAlignment="1">
      <alignment horizontal="left" vertical="center"/>
    </xf>
    <xf numFmtId="0" fontId="14" fillId="10" borderId="3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left" vertical="center"/>
    </xf>
    <xf numFmtId="0" fontId="15" fillId="5" borderId="3" xfId="0" applyFont="1" applyFill="1" applyBorder="1" applyAlignment="1">
      <alignment horizontal="left" vertical="center"/>
    </xf>
    <xf numFmtId="0" fontId="16" fillId="5" borderId="4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 wrapText="1"/>
    </xf>
    <xf numFmtId="0" fontId="12" fillId="7" borderId="0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left" vertical="center"/>
    </xf>
    <xf numFmtId="0" fontId="32" fillId="14" borderId="6" xfId="0" applyFont="1" applyFill="1" applyBorder="1" applyAlignment="1">
      <alignment horizontal="left" vertical="center"/>
    </xf>
    <xf numFmtId="0" fontId="31" fillId="14" borderId="4" xfId="0" applyFont="1" applyFill="1" applyBorder="1" applyAlignment="1">
      <alignment horizontal="left" vertical="center"/>
    </xf>
    <xf numFmtId="0" fontId="31" fillId="5" borderId="5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 wrapText="1"/>
    </xf>
    <xf numFmtId="0" fontId="30" fillId="14" borderId="4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center" wrapText="1"/>
    </xf>
    <xf numFmtId="0" fontId="28" fillId="5" borderId="3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left" vertical="center"/>
    </xf>
    <xf numFmtId="0" fontId="34" fillId="5" borderId="5" xfId="0" applyFont="1" applyFill="1" applyBorder="1" applyAlignment="1">
      <alignment horizontal="left" vertical="center" wrapText="1"/>
    </xf>
    <xf numFmtId="0" fontId="12" fillId="7" borderId="0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/>
    </xf>
    <xf numFmtId="0" fontId="3" fillId="15" borderId="1" xfId="0" applyFont="1" applyFill="1" applyBorder="1" applyAlignment="1">
      <alignment horizontal="center" vertical="center"/>
    </xf>
    <xf numFmtId="0" fontId="38" fillId="5" borderId="1" xfId="0" applyFont="1" applyFill="1" applyBorder="1" applyAlignment="1">
      <alignment horizontal="left" vertical="center" wrapText="1"/>
    </xf>
    <xf numFmtId="0" fontId="38" fillId="6" borderId="1" xfId="0" applyFont="1" applyFill="1" applyBorder="1" applyAlignment="1">
      <alignment horizontal="left" vertical="center" wrapText="1"/>
    </xf>
    <xf numFmtId="0" fontId="7" fillId="21" borderId="1" xfId="0" applyFont="1" applyFill="1" applyBorder="1" applyAlignment="1">
      <alignment horizontal="left" vertical="center" wrapText="1"/>
    </xf>
    <xf numFmtId="0" fontId="7" fillId="20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 vertical="center"/>
    </xf>
    <xf numFmtId="0" fontId="35" fillId="3" borderId="1" xfId="0" applyFont="1" applyFill="1" applyBorder="1" applyAlignment="1">
      <alignment horizontal="right" vertical="center"/>
    </xf>
    <xf numFmtId="0" fontId="36" fillId="8" borderId="1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2" fillId="6" borderId="0" xfId="0" applyFont="1" applyFill="1" applyBorder="1" applyAlignment="1">
      <alignment horizontal="center" vertical="center"/>
    </xf>
    <xf numFmtId="0" fontId="39" fillId="9" borderId="0" xfId="0" applyFont="1" applyFill="1" applyBorder="1" applyAlignment="1">
      <alignment horizontal="left" vertical="center"/>
    </xf>
    <xf numFmtId="0" fontId="41" fillId="20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0"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CC0000"/>
        <name val="Arial"/>
      </font>
      <fill>
        <patternFill>
          <bgColor rgb="FFFFE8E8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E65100"/>
        <name val="Arial"/>
      </font>
      <fill>
        <patternFill>
          <bgColor rgb="FFFFF3E0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  <dxf>
      <font>
        <b/>
        <color rgb="FF1A6B1A"/>
        <name val="Arial"/>
      </font>
      <fill>
        <patternFill>
          <bgColor rgb="FFE8F5E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EEEEEE"/>
      <rgbColor rgb="FFFF00FF"/>
      <rgbColor rgb="FF00FFFF"/>
      <rgbColor rgb="FF800000"/>
      <rgbColor rgb="FF006621"/>
      <rgbColor rgb="FF1A0DAB"/>
      <rgbColor rgb="FF558B2F"/>
      <rgbColor rgb="FF6A1B9A"/>
      <rgbColor rgb="FF0078D4"/>
      <rgbColor rgb="FFCCCCCC"/>
      <rgbColor rgb="FF666666"/>
      <rgbColor rgb="FFF0F2F5"/>
      <rgbColor rgb="FFAD1457"/>
      <rgbColor rgb="FFFFF3E0"/>
      <rgbColor rgb="FFE0F2F1"/>
      <rgbColor rgb="FF660066"/>
      <rgbColor rgb="FFFFFBFB"/>
      <rgbColor rgb="FF1565C0"/>
      <rgbColor rgb="FFDADCE0"/>
      <rgbColor rgb="FF050505"/>
      <rgbColor rgb="FFFF00FF"/>
      <rgbColor rgb="FFF7F7F7"/>
      <rgbColor rgb="FF00FFFF"/>
      <rgbColor rgb="FF7B1FA2"/>
      <rgbColor rgb="FF800000"/>
      <rgbColor rgb="FF1A6B1A"/>
      <rgbColor rgb="FF0000FF"/>
      <rgbColor rgb="FF00CCFF"/>
      <rgbColor rgb="FFEAF4FF"/>
      <rgbColor rgb="FFE8F5E9"/>
      <rgbColor rgb="FFF5EDD6"/>
      <rgbColor rgb="FFD6E4F0"/>
      <rgbColor rgb="FFF3E5F5"/>
      <rgbColor rgb="FFFFE8E8"/>
      <rgbColor rgb="FFFCE4EC"/>
      <rgbColor rgb="FF1877F2"/>
      <rgbColor rgb="FF33CCCC"/>
      <rgbColor rgb="FF99CC00"/>
      <rgbColor rgb="FFFFF0F6"/>
      <rgbColor rgb="FFC8A951"/>
      <rgbColor rgb="FFE65100"/>
      <rgbColor rgb="FF65676B"/>
      <rgbColor rgb="FF999999"/>
      <rgbColor rgb="FF37474F"/>
      <rgbColor rgb="FF2E7D32"/>
      <rgbColor rgb="FF1A1A1A"/>
      <rgbColor rgb="FF212121"/>
      <rgbColor rgb="FF993300"/>
      <rgbColor rgb="FF545454"/>
      <rgbColor rgb="FF2E4A72"/>
      <rgbColor rgb="FF1A2B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2B4A"/>
  </sheetPr>
  <dimension ref="A1:F35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4" style="1" customWidth="1"/>
    <col min="2" max="2" width="32.42578125" style="1" customWidth="1"/>
    <col min="3" max="3" width="49.140625" style="1" customWidth="1"/>
    <col min="4" max="4" width="22" style="1" customWidth="1"/>
    <col min="5" max="5" width="31.42578125" style="1" customWidth="1"/>
    <col min="6" max="6" width="3" style="1" customWidth="1"/>
  </cols>
  <sheetData>
    <row r="1" spans="1:6" ht="33.75" customHeight="1" x14ac:dyDescent="0.25">
      <c r="A1" s="100" t="s">
        <v>0</v>
      </c>
      <c r="B1" s="100"/>
      <c r="C1" s="100"/>
      <c r="D1" s="100"/>
      <c r="E1" s="100"/>
    </row>
    <row r="2" spans="1:6" ht="18" customHeight="1" x14ac:dyDescent="0.25">
      <c r="A2" s="101" t="s">
        <v>1</v>
      </c>
      <c r="B2" s="101"/>
      <c r="C2" s="101"/>
      <c r="D2" s="101"/>
      <c r="E2" s="101"/>
    </row>
    <row r="3" spans="1:6" ht="7.5" customHeight="1" x14ac:dyDescent="0.25"/>
    <row r="4" spans="1:6" ht="21.75" customHeight="1" x14ac:dyDescent="0.25">
      <c r="A4" s="96" t="s">
        <v>2</v>
      </c>
      <c r="B4" s="96"/>
      <c r="C4" s="96"/>
      <c r="D4" s="96"/>
      <c r="E4" s="96"/>
    </row>
    <row r="5" spans="1:6" ht="21.75" customHeight="1" x14ac:dyDescent="0.25">
      <c r="A5" s="2"/>
      <c r="B5" s="2" t="s">
        <v>3</v>
      </c>
      <c r="C5" s="2" t="s">
        <v>4</v>
      </c>
      <c r="D5" s="2" t="s">
        <v>3</v>
      </c>
      <c r="E5" s="2" t="s">
        <v>4</v>
      </c>
    </row>
    <row r="6" spans="1:6" ht="19.5" customHeight="1" x14ac:dyDescent="0.25">
      <c r="A6" s="3">
        <v>1</v>
      </c>
      <c r="B6" s="4" t="s">
        <v>5</v>
      </c>
      <c r="C6" s="5" t="s">
        <v>6</v>
      </c>
      <c r="D6" s="4" t="s">
        <v>7</v>
      </c>
      <c r="E6" s="5" t="s">
        <v>8</v>
      </c>
      <c r="F6" s="5"/>
    </row>
    <row r="7" spans="1:6" ht="19.5" customHeight="1" x14ac:dyDescent="0.25">
      <c r="A7" s="6">
        <v>2</v>
      </c>
      <c r="B7" s="7" t="s">
        <v>9</v>
      </c>
      <c r="C7" s="8" t="s">
        <v>10</v>
      </c>
      <c r="D7" s="7" t="s">
        <v>11</v>
      </c>
      <c r="E7" s="8" t="s">
        <v>12</v>
      </c>
      <c r="F7" s="8"/>
    </row>
    <row r="8" spans="1:6" ht="19.5" customHeight="1" x14ac:dyDescent="0.25">
      <c r="A8" s="3">
        <v>3</v>
      </c>
      <c r="B8" s="4" t="s">
        <v>13</v>
      </c>
      <c r="C8" s="5" t="s">
        <v>789</v>
      </c>
      <c r="D8" s="4" t="s">
        <v>14</v>
      </c>
      <c r="E8" s="5" t="s">
        <v>15</v>
      </c>
      <c r="F8" s="5"/>
    </row>
    <row r="9" spans="1:6" ht="19.5" customHeight="1" x14ac:dyDescent="0.25">
      <c r="A9" s="6">
        <v>4</v>
      </c>
      <c r="B9" s="7" t="s">
        <v>16</v>
      </c>
      <c r="C9" s="8" t="s">
        <v>17</v>
      </c>
      <c r="D9" s="7" t="s">
        <v>18</v>
      </c>
      <c r="E9" s="8" t="s">
        <v>19</v>
      </c>
      <c r="F9" s="8"/>
    </row>
    <row r="10" spans="1:6" ht="19.5" customHeight="1" x14ac:dyDescent="0.25">
      <c r="A10" s="3">
        <v>5</v>
      </c>
      <c r="B10" s="4" t="s">
        <v>20</v>
      </c>
      <c r="C10" s="5" t="s">
        <v>21</v>
      </c>
      <c r="D10" s="4" t="s">
        <v>22</v>
      </c>
      <c r="E10" s="5" t="s">
        <v>23</v>
      </c>
      <c r="F10" s="5"/>
    </row>
    <row r="11" spans="1:6" ht="7.5" customHeight="1" x14ac:dyDescent="0.25"/>
    <row r="12" spans="1:6" ht="21.75" customHeight="1" x14ac:dyDescent="0.25">
      <c r="A12" s="96" t="s">
        <v>24</v>
      </c>
      <c r="B12" s="96"/>
      <c r="C12" s="96"/>
      <c r="D12" s="96"/>
      <c r="E12" s="96"/>
    </row>
    <row r="13" spans="1:6" ht="21.75" customHeight="1" x14ac:dyDescent="0.25">
      <c r="B13" s="2" t="s">
        <v>25</v>
      </c>
      <c r="C13" s="2" t="s">
        <v>26</v>
      </c>
      <c r="D13" s="2" t="s">
        <v>27</v>
      </c>
    </row>
    <row r="14" spans="1:6" ht="21.75" customHeight="1" x14ac:dyDescent="0.25">
      <c r="A14" s="3">
        <v>1</v>
      </c>
      <c r="B14" s="4" t="s">
        <v>28</v>
      </c>
      <c r="C14" s="5" t="s">
        <v>29</v>
      </c>
      <c r="D14" s="5" t="s">
        <v>30</v>
      </c>
      <c r="E14" s="99"/>
      <c r="F14" s="99"/>
    </row>
    <row r="15" spans="1:6" ht="21.75" customHeight="1" x14ac:dyDescent="0.25">
      <c r="A15" s="6">
        <v>2</v>
      </c>
      <c r="B15" s="7" t="s">
        <v>31</v>
      </c>
      <c r="C15" s="8" t="s">
        <v>32</v>
      </c>
      <c r="D15" s="8" t="s">
        <v>33</v>
      </c>
      <c r="E15" s="98"/>
      <c r="F15" s="98"/>
    </row>
    <row r="16" spans="1:6" ht="21.75" customHeight="1" x14ac:dyDescent="0.25">
      <c r="A16" s="3">
        <v>3</v>
      </c>
      <c r="B16" s="4" t="s">
        <v>34</v>
      </c>
      <c r="C16" s="5" t="s">
        <v>35</v>
      </c>
      <c r="D16" s="5" t="s">
        <v>36</v>
      </c>
      <c r="E16" s="99"/>
      <c r="F16" s="99"/>
    </row>
    <row r="17" spans="1:6" ht="21.75" customHeight="1" x14ac:dyDescent="0.25">
      <c r="A17" s="6">
        <v>4</v>
      </c>
      <c r="B17" s="7" t="s">
        <v>37</v>
      </c>
      <c r="C17" s="8" t="s">
        <v>38</v>
      </c>
      <c r="D17" s="8" t="s">
        <v>39</v>
      </c>
      <c r="E17" s="98"/>
      <c r="F17" s="98"/>
    </row>
    <row r="18" spans="1:6" ht="21.75" customHeight="1" x14ac:dyDescent="0.25">
      <c r="A18" s="3">
        <v>5</v>
      </c>
      <c r="B18" s="4" t="s">
        <v>40</v>
      </c>
      <c r="C18" s="5" t="s">
        <v>41</v>
      </c>
      <c r="D18" s="5" t="s">
        <v>30</v>
      </c>
      <c r="E18" s="99"/>
      <c r="F18" s="99"/>
    </row>
    <row r="19" spans="1:6" ht="21.75" customHeight="1" x14ac:dyDescent="0.25">
      <c r="A19" s="6">
        <v>6</v>
      </c>
      <c r="B19" s="7" t="s">
        <v>42</v>
      </c>
      <c r="C19" s="8" t="s">
        <v>43</v>
      </c>
      <c r="D19" s="8" t="s">
        <v>39</v>
      </c>
      <c r="E19" s="98"/>
      <c r="F19" s="98"/>
    </row>
    <row r="20" spans="1:6" ht="7.5" customHeight="1" x14ac:dyDescent="0.25"/>
    <row r="21" spans="1:6" ht="21.75" customHeight="1" x14ac:dyDescent="0.25">
      <c r="A21" s="96" t="s">
        <v>44</v>
      </c>
      <c r="B21" s="96"/>
      <c r="C21" s="96"/>
      <c r="D21" s="96"/>
      <c r="E21" s="96"/>
    </row>
    <row r="22" spans="1:6" ht="21.75" customHeight="1" x14ac:dyDescent="0.25">
      <c r="A22" s="2"/>
      <c r="B22" s="2" t="s">
        <v>45</v>
      </c>
      <c r="C22" s="2" t="s">
        <v>46</v>
      </c>
      <c r="D22" s="2" t="s">
        <v>47</v>
      </c>
    </row>
    <row r="23" spans="1:6" ht="21.75" customHeight="1" x14ac:dyDescent="0.25">
      <c r="A23" s="3">
        <v>1</v>
      </c>
      <c r="B23" s="9" t="s">
        <v>48</v>
      </c>
      <c r="C23" s="5" t="s">
        <v>49</v>
      </c>
      <c r="D23" s="10" t="s">
        <v>50</v>
      </c>
      <c r="E23" s="5"/>
      <c r="F23" s="5"/>
    </row>
    <row r="24" spans="1:6" ht="21.75" customHeight="1" x14ac:dyDescent="0.25">
      <c r="A24" s="6">
        <v>2</v>
      </c>
      <c r="B24" s="11" t="s">
        <v>51</v>
      </c>
      <c r="C24" s="8" t="s">
        <v>52</v>
      </c>
      <c r="D24" s="12" t="s">
        <v>53</v>
      </c>
      <c r="E24" s="8"/>
      <c r="F24" s="8"/>
    </row>
    <row r="25" spans="1:6" ht="21.75" customHeight="1" x14ac:dyDescent="0.25">
      <c r="A25" s="3">
        <v>3</v>
      </c>
      <c r="B25" s="9" t="s">
        <v>54</v>
      </c>
      <c r="C25" s="5" t="s">
        <v>55</v>
      </c>
      <c r="D25" s="10" t="s">
        <v>56</v>
      </c>
      <c r="E25" s="5"/>
      <c r="F25" s="5"/>
    </row>
    <row r="26" spans="1:6" ht="21.75" customHeight="1" x14ac:dyDescent="0.25">
      <c r="A26" s="6">
        <v>4</v>
      </c>
      <c r="B26" s="11" t="s">
        <v>57</v>
      </c>
      <c r="C26" s="8" t="s">
        <v>58</v>
      </c>
      <c r="D26" s="12" t="s">
        <v>59</v>
      </c>
      <c r="E26" s="8"/>
      <c r="F26" s="8"/>
    </row>
    <row r="27" spans="1:6" ht="21.75" customHeight="1" x14ac:dyDescent="0.25">
      <c r="A27" s="3">
        <v>5</v>
      </c>
      <c r="B27" s="9" t="s">
        <v>60</v>
      </c>
      <c r="C27" s="5" t="s">
        <v>61</v>
      </c>
      <c r="D27" s="10" t="s">
        <v>62</v>
      </c>
      <c r="E27" s="5"/>
      <c r="F27" s="5"/>
    </row>
    <row r="28" spans="1:6" ht="21.75" customHeight="1" x14ac:dyDescent="0.25">
      <c r="A28" s="6">
        <v>6</v>
      </c>
      <c r="B28" s="11" t="s">
        <v>63</v>
      </c>
      <c r="C28" s="8" t="s">
        <v>64</v>
      </c>
      <c r="D28" s="12" t="s">
        <v>65</v>
      </c>
      <c r="E28" s="8"/>
      <c r="F28" s="8"/>
    </row>
    <row r="29" spans="1:6" ht="21.75" customHeight="1" x14ac:dyDescent="0.25">
      <c r="A29" s="3">
        <v>7</v>
      </c>
      <c r="B29" s="9" t="s">
        <v>66</v>
      </c>
      <c r="C29" s="5" t="s">
        <v>67</v>
      </c>
      <c r="D29" s="10" t="s">
        <v>68</v>
      </c>
      <c r="E29" s="5"/>
      <c r="F29" s="5"/>
    </row>
    <row r="30" spans="1:6" ht="21.75" customHeight="1" x14ac:dyDescent="0.25">
      <c r="A30" s="6">
        <v>8</v>
      </c>
      <c r="B30" s="11" t="s">
        <v>69</v>
      </c>
      <c r="C30" s="8" t="s">
        <v>70</v>
      </c>
      <c r="D30" s="12" t="s">
        <v>71</v>
      </c>
      <c r="E30" s="8"/>
      <c r="F30" s="8"/>
    </row>
    <row r="31" spans="1:6" ht="21.75" customHeight="1" x14ac:dyDescent="0.25">
      <c r="A31" s="3">
        <v>9</v>
      </c>
      <c r="B31" s="9" t="s">
        <v>72</v>
      </c>
      <c r="C31" s="5" t="s">
        <v>73</v>
      </c>
      <c r="D31" s="10" t="s">
        <v>74</v>
      </c>
      <c r="E31" s="5"/>
      <c r="F31" s="5"/>
    </row>
    <row r="32" spans="1:6" ht="21.75" customHeight="1" x14ac:dyDescent="0.25">
      <c r="A32" s="6">
        <v>10</v>
      </c>
      <c r="B32" s="11" t="s">
        <v>75</v>
      </c>
      <c r="C32" s="8" t="s">
        <v>76</v>
      </c>
      <c r="D32" s="12" t="s">
        <v>77</v>
      </c>
      <c r="E32" s="8"/>
      <c r="F32" s="8"/>
    </row>
    <row r="33" spans="1:6" ht="21.75" customHeight="1" x14ac:dyDescent="0.25">
      <c r="A33" s="3">
        <v>11</v>
      </c>
      <c r="B33" s="9" t="s">
        <v>78</v>
      </c>
      <c r="C33" s="5" t="s">
        <v>79</v>
      </c>
      <c r="D33" s="10" t="s">
        <v>80</v>
      </c>
      <c r="E33" s="5"/>
      <c r="F33" s="5"/>
    </row>
    <row r="34" spans="1:6" ht="7.5" customHeight="1" x14ac:dyDescent="0.25"/>
    <row r="35" spans="1:6" ht="18" customHeight="1" x14ac:dyDescent="0.25">
      <c r="A35" s="97" t="s">
        <v>81</v>
      </c>
      <c r="B35" s="97"/>
      <c r="C35" s="97"/>
      <c r="D35" s="97"/>
      <c r="E35" s="97"/>
      <c r="F35" s="97"/>
    </row>
  </sheetData>
  <mergeCells count="12">
    <mergeCell ref="A1:E1"/>
    <mergeCell ref="A2:E2"/>
    <mergeCell ref="A4:E4"/>
    <mergeCell ref="A12:E12"/>
    <mergeCell ref="E14:F14"/>
    <mergeCell ref="A21:E21"/>
    <mergeCell ref="A35:F35"/>
    <mergeCell ref="E15:F15"/>
    <mergeCell ref="E16:F16"/>
    <mergeCell ref="E17:F17"/>
    <mergeCell ref="E18:F18"/>
    <mergeCell ref="E19:F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32"/>
  </sheetPr>
  <dimension ref="A1:N23"/>
  <sheetViews>
    <sheetView showGridLines="0" tabSelected="1" zoomScaleNormal="100" workbookViewId="0">
      <selection activeCell="A3" sqref="A3:N3"/>
    </sheetView>
  </sheetViews>
  <sheetFormatPr defaultColWidth="8.7109375" defaultRowHeight="15" x14ac:dyDescent="0.25"/>
  <cols>
    <col min="1" max="1" width="4" style="1" customWidth="1"/>
    <col min="2" max="2" width="20" style="1" customWidth="1"/>
    <col min="3" max="3" width="16" style="1" customWidth="1"/>
    <col min="4" max="4" width="39.28515625" style="1" customWidth="1"/>
    <col min="5" max="5" width="22" style="1" customWidth="1"/>
    <col min="6" max="6" width="30.28515625" style="1" customWidth="1"/>
    <col min="7" max="9" width="7" style="1" customWidth="1"/>
    <col min="10" max="10" width="12" style="1" customWidth="1"/>
    <col min="11" max="12" width="14" style="1" customWidth="1"/>
    <col min="13" max="13" width="10" style="1" customWidth="1"/>
    <col min="14" max="14" width="24" style="1" customWidth="1"/>
  </cols>
  <sheetData>
    <row r="1" spans="1:14" ht="33.75" customHeight="1" x14ac:dyDescent="0.25">
      <c r="A1" s="102" t="s">
        <v>82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</row>
    <row r="2" spans="1:14" ht="18" customHeight="1" x14ac:dyDescent="0.25">
      <c r="A2" s="101" t="s">
        <v>83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3" spans="1:14" ht="19.5" customHeight="1" x14ac:dyDescent="0.25">
      <c r="A3" s="103" t="s">
        <v>84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</row>
    <row r="4" spans="1:14" ht="7.5" customHeight="1" x14ac:dyDescent="0.25"/>
    <row r="5" spans="1:14" ht="43.5" customHeight="1" x14ac:dyDescent="0.25">
      <c r="A5" s="13" t="s">
        <v>85</v>
      </c>
      <c r="B5" s="13" t="s">
        <v>86</v>
      </c>
      <c r="C5" s="13" t="s">
        <v>87</v>
      </c>
      <c r="D5" s="13" t="s">
        <v>88</v>
      </c>
      <c r="E5" s="13" t="s">
        <v>89</v>
      </c>
      <c r="F5" s="13" t="s">
        <v>90</v>
      </c>
      <c r="G5" s="13" t="s">
        <v>91</v>
      </c>
      <c r="H5" s="13" t="s">
        <v>92</v>
      </c>
      <c r="I5" s="13" t="s">
        <v>93</v>
      </c>
      <c r="J5" s="13" t="s">
        <v>94</v>
      </c>
      <c r="K5" s="13" t="s">
        <v>95</v>
      </c>
      <c r="L5" s="13" t="s">
        <v>96</v>
      </c>
      <c r="M5" s="13" t="s">
        <v>97</v>
      </c>
      <c r="N5" s="13" t="s">
        <v>98</v>
      </c>
    </row>
    <row r="6" spans="1:14" ht="21.75" customHeight="1" x14ac:dyDescent="0.25">
      <c r="A6" s="14">
        <v>1</v>
      </c>
      <c r="B6" s="5" t="s">
        <v>99</v>
      </c>
      <c r="C6" s="5" t="s">
        <v>100</v>
      </c>
      <c r="D6" s="5" t="s">
        <v>101</v>
      </c>
      <c r="E6" s="5" t="s">
        <v>102</v>
      </c>
      <c r="F6" s="5" t="s">
        <v>103</v>
      </c>
      <c r="G6" s="15">
        <v>15</v>
      </c>
      <c r="H6" s="15">
        <v>4</v>
      </c>
      <c r="I6" s="15">
        <v>1</v>
      </c>
      <c r="J6" s="5"/>
      <c r="K6" s="5"/>
      <c r="L6" s="5" t="s">
        <v>104</v>
      </c>
      <c r="M6" s="16" t="s">
        <v>105</v>
      </c>
      <c r="N6" s="5" t="s">
        <v>106</v>
      </c>
    </row>
    <row r="7" spans="1:14" ht="21.75" customHeight="1" x14ac:dyDescent="0.25">
      <c r="A7" s="14">
        <v>2</v>
      </c>
      <c r="B7" s="8" t="s">
        <v>99</v>
      </c>
      <c r="C7" s="8" t="s">
        <v>100</v>
      </c>
      <c r="D7" s="8" t="s">
        <v>107</v>
      </c>
      <c r="E7" s="8" t="s">
        <v>108</v>
      </c>
      <c r="F7" s="8" t="s">
        <v>109</v>
      </c>
      <c r="G7" s="15">
        <v>15</v>
      </c>
      <c r="H7" s="15">
        <v>4</v>
      </c>
      <c r="I7" s="15">
        <v>1</v>
      </c>
      <c r="J7" s="8"/>
      <c r="K7" s="8"/>
      <c r="L7" s="8" t="s">
        <v>104</v>
      </c>
      <c r="M7" s="14" t="s">
        <v>105</v>
      </c>
      <c r="N7" s="8" t="s">
        <v>110</v>
      </c>
    </row>
    <row r="8" spans="1:14" ht="21.75" customHeight="1" x14ac:dyDescent="0.25">
      <c r="A8" s="14">
        <v>3</v>
      </c>
      <c r="B8" s="5" t="s">
        <v>99</v>
      </c>
      <c r="C8" s="5" t="s">
        <v>100</v>
      </c>
      <c r="D8" s="5" t="s">
        <v>111</v>
      </c>
      <c r="E8" s="5" t="s">
        <v>112</v>
      </c>
      <c r="F8" s="5" t="s">
        <v>112</v>
      </c>
      <c r="G8" s="15">
        <v>15</v>
      </c>
      <c r="H8" s="15">
        <v>4</v>
      </c>
      <c r="I8" s="15">
        <v>1</v>
      </c>
      <c r="J8" s="5"/>
      <c r="K8" s="5"/>
      <c r="L8" s="5" t="s">
        <v>104</v>
      </c>
      <c r="M8" s="16" t="s">
        <v>105</v>
      </c>
      <c r="N8" s="5" t="s">
        <v>113</v>
      </c>
    </row>
    <row r="9" spans="1:14" ht="21.75" customHeight="1" x14ac:dyDescent="0.25">
      <c r="A9" s="14">
        <v>4</v>
      </c>
      <c r="B9" s="8" t="s">
        <v>99</v>
      </c>
      <c r="C9" s="8" t="s">
        <v>100</v>
      </c>
      <c r="D9" s="8" t="s">
        <v>114</v>
      </c>
      <c r="E9" s="8" t="s">
        <v>115</v>
      </c>
      <c r="F9" s="8" t="s">
        <v>116</v>
      </c>
      <c r="G9" s="15">
        <v>15</v>
      </c>
      <c r="H9" s="15">
        <v>4</v>
      </c>
      <c r="I9" s="15">
        <v>1</v>
      </c>
      <c r="J9" s="8"/>
      <c r="K9" s="8"/>
      <c r="L9" s="8" t="s">
        <v>104</v>
      </c>
      <c r="M9" s="14" t="s">
        <v>117</v>
      </c>
      <c r="N9" s="8" t="s">
        <v>118</v>
      </c>
    </row>
    <row r="10" spans="1:14" ht="21.75" customHeight="1" x14ac:dyDescent="0.25">
      <c r="A10" s="14">
        <v>5</v>
      </c>
      <c r="B10" s="5" t="s">
        <v>99</v>
      </c>
      <c r="C10" s="5" t="s">
        <v>100</v>
      </c>
      <c r="D10" s="5" t="s">
        <v>119</v>
      </c>
      <c r="E10" s="5" t="s">
        <v>120</v>
      </c>
      <c r="F10" s="5" t="s">
        <v>121</v>
      </c>
      <c r="G10" s="15">
        <v>15</v>
      </c>
      <c r="H10" s="15">
        <v>4</v>
      </c>
      <c r="I10" s="15">
        <v>1</v>
      </c>
      <c r="J10" s="5"/>
      <c r="K10" s="5"/>
      <c r="L10" s="5" t="s">
        <v>104</v>
      </c>
      <c r="M10" s="16" t="s">
        <v>105</v>
      </c>
      <c r="N10" s="5" t="s">
        <v>122</v>
      </c>
    </row>
    <row r="11" spans="1:14" ht="21.75" customHeight="1" x14ac:dyDescent="0.25">
      <c r="A11" s="14">
        <v>6</v>
      </c>
      <c r="B11" s="8" t="s">
        <v>99</v>
      </c>
      <c r="C11" s="8" t="s">
        <v>100</v>
      </c>
      <c r="D11" s="8" t="s">
        <v>123</v>
      </c>
      <c r="E11" s="8" t="s">
        <v>124</v>
      </c>
      <c r="F11" s="8" t="s">
        <v>125</v>
      </c>
      <c r="G11" s="15">
        <v>15</v>
      </c>
      <c r="H11" s="15">
        <v>4</v>
      </c>
      <c r="I11" s="15">
        <v>1</v>
      </c>
      <c r="J11" s="8"/>
      <c r="K11" s="8"/>
      <c r="L11" s="8" t="s">
        <v>104</v>
      </c>
      <c r="M11" s="14" t="s">
        <v>117</v>
      </c>
      <c r="N11" s="8" t="s">
        <v>126</v>
      </c>
    </row>
    <row r="12" spans="1:14" ht="21.75" customHeight="1" x14ac:dyDescent="0.25">
      <c r="A12" s="14">
        <v>7</v>
      </c>
      <c r="B12" s="5" t="s">
        <v>127</v>
      </c>
      <c r="C12" s="5" t="s">
        <v>128</v>
      </c>
      <c r="D12" s="5" t="s">
        <v>129</v>
      </c>
      <c r="E12" s="5" t="s">
        <v>130</v>
      </c>
      <c r="F12" s="5" t="s">
        <v>131</v>
      </c>
      <c r="G12" s="15">
        <v>10</v>
      </c>
      <c r="H12" s="15">
        <v>5</v>
      </c>
      <c r="I12" s="15">
        <v>3</v>
      </c>
      <c r="J12" s="5"/>
      <c r="K12" s="5"/>
      <c r="L12" s="5" t="s">
        <v>104</v>
      </c>
      <c r="M12" s="16" t="s">
        <v>117</v>
      </c>
      <c r="N12" s="5" t="s">
        <v>132</v>
      </c>
    </row>
    <row r="13" spans="1:14" ht="21.75" customHeight="1" x14ac:dyDescent="0.25">
      <c r="A13" s="14">
        <v>8</v>
      </c>
      <c r="B13" s="8" t="s">
        <v>133</v>
      </c>
      <c r="C13" s="8" t="s">
        <v>134</v>
      </c>
      <c r="D13" s="8" t="s">
        <v>135</v>
      </c>
      <c r="E13" s="8" t="s">
        <v>136</v>
      </c>
      <c r="F13" s="8" t="s">
        <v>137</v>
      </c>
      <c r="G13" s="15">
        <v>15</v>
      </c>
      <c r="H13" s="15">
        <v>5</v>
      </c>
      <c r="I13" s="15">
        <v>5</v>
      </c>
      <c r="J13" s="8"/>
      <c r="K13" s="8"/>
      <c r="L13" s="8" t="s">
        <v>104</v>
      </c>
      <c r="M13" s="14" t="s">
        <v>105</v>
      </c>
      <c r="N13" s="8" t="s">
        <v>138</v>
      </c>
    </row>
    <row r="14" spans="1:14" ht="21.75" customHeight="1" x14ac:dyDescent="0.25">
      <c r="A14" s="14">
        <v>9</v>
      </c>
      <c r="B14" s="5" t="s">
        <v>139</v>
      </c>
      <c r="C14" s="5" t="s">
        <v>140</v>
      </c>
      <c r="D14" s="5" t="s">
        <v>141</v>
      </c>
      <c r="E14" s="5" t="s">
        <v>142</v>
      </c>
      <c r="F14" s="5" t="s">
        <v>143</v>
      </c>
      <c r="G14" s="15">
        <v>5</v>
      </c>
      <c r="H14" s="15">
        <v>5</v>
      </c>
      <c r="I14" s="15">
        <v>3</v>
      </c>
      <c r="J14" s="5"/>
      <c r="K14" s="5"/>
      <c r="L14" s="5" t="s">
        <v>104</v>
      </c>
      <c r="M14" s="16" t="s">
        <v>144</v>
      </c>
      <c r="N14" s="5" t="s">
        <v>145</v>
      </c>
    </row>
    <row r="15" spans="1:14" ht="21.75" customHeight="1" x14ac:dyDescent="0.25">
      <c r="A15" s="14">
        <v>10</v>
      </c>
      <c r="B15" s="8" t="s">
        <v>146</v>
      </c>
      <c r="C15" s="8" t="s">
        <v>147</v>
      </c>
      <c r="D15" s="8" t="s">
        <v>148</v>
      </c>
      <c r="E15" s="8" t="s">
        <v>149</v>
      </c>
      <c r="F15" s="8" t="s">
        <v>150</v>
      </c>
      <c r="G15" s="15">
        <v>5</v>
      </c>
      <c r="H15" s="15">
        <v>5</v>
      </c>
      <c r="I15" s="15">
        <v>3</v>
      </c>
      <c r="J15" s="8"/>
      <c r="K15" s="8"/>
      <c r="L15" s="8" t="s">
        <v>104</v>
      </c>
      <c r="M15" s="14" t="s">
        <v>105</v>
      </c>
      <c r="N15" s="8" t="s">
        <v>151</v>
      </c>
    </row>
    <row r="16" spans="1:14" ht="21.75" customHeight="1" x14ac:dyDescent="0.25">
      <c r="A16" s="14">
        <v>11</v>
      </c>
      <c r="B16" s="5" t="s">
        <v>146</v>
      </c>
      <c r="C16" s="5" t="s">
        <v>152</v>
      </c>
      <c r="D16" s="5" t="s">
        <v>153</v>
      </c>
      <c r="E16" s="5" t="s">
        <v>154</v>
      </c>
      <c r="F16" s="5" t="s">
        <v>155</v>
      </c>
      <c r="G16" s="15">
        <v>5</v>
      </c>
      <c r="H16" s="15">
        <v>5</v>
      </c>
      <c r="I16" s="15">
        <v>3</v>
      </c>
      <c r="J16" s="5"/>
      <c r="K16" s="5"/>
      <c r="L16" s="5" t="s">
        <v>104</v>
      </c>
      <c r="M16" s="16" t="s">
        <v>105</v>
      </c>
      <c r="N16" s="5" t="s">
        <v>156</v>
      </c>
    </row>
    <row r="17" spans="1:14" ht="21.75" customHeight="1" x14ac:dyDescent="0.25">
      <c r="A17" s="14">
        <v>12</v>
      </c>
      <c r="B17" s="8" t="s">
        <v>146</v>
      </c>
      <c r="C17" s="8" t="s">
        <v>157</v>
      </c>
      <c r="D17" s="8" t="s">
        <v>158</v>
      </c>
      <c r="E17" s="8" t="s">
        <v>159</v>
      </c>
      <c r="F17" s="8" t="s">
        <v>160</v>
      </c>
      <c r="G17" s="15">
        <v>5</v>
      </c>
      <c r="H17" s="15">
        <v>5</v>
      </c>
      <c r="I17" s="15">
        <v>5</v>
      </c>
      <c r="J17" s="8"/>
      <c r="K17" s="8"/>
      <c r="L17" s="8" t="s">
        <v>104</v>
      </c>
      <c r="M17" s="14" t="s">
        <v>117</v>
      </c>
      <c r="N17" s="8" t="s">
        <v>161</v>
      </c>
    </row>
    <row r="18" spans="1:14" ht="21.75" customHeight="1" x14ac:dyDescent="0.25">
      <c r="A18" s="14">
        <v>13</v>
      </c>
      <c r="B18" s="5" t="s">
        <v>162</v>
      </c>
      <c r="C18" s="5" t="s">
        <v>163</v>
      </c>
      <c r="D18" s="5" t="s">
        <v>164</v>
      </c>
      <c r="E18" s="5" t="s">
        <v>165</v>
      </c>
      <c r="F18" s="5" t="s">
        <v>166</v>
      </c>
      <c r="G18" s="15">
        <v>3</v>
      </c>
      <c r="H18" s="15">
        <v>3</v>
      </c>
      <c r="I18" s="15">
        <v>3</v>
      </c>
      <c r="J18" s="5"/>
      <c r="K18" s="5"/>
      <c r="L18" s="5" t="s">
        <v>104</v>
      </c>
      <c r="M18" s="16" t="s">
        <v>117</v>
      </c>
      <c r="N18" s="5" t="s">
        <v>167</v>
      </c>
    </row>
    <row r="19" spans="1:14" ht="21.75" customHeight="1" x14ac:dyDescent="0.25">
      <c r="A19" s="14">
        <v>14</v>
      </c>
      <c r="B19" s="8" t="s">
        <v>168</v>
      </c>
      <c r="C19" s="8" t="s">
        <v>100</v>
      </c>
      <c r="D19" s="8" t="s">
        <v>169</v>
      </c>
      <c r="E19" s="8" t="s">
        <v>102</v>
      </c>
      <c r="F19" s="8" t="s">
        <v>103</v>
      </c>
      <c r="G19" s="15">
        <v>15</v>
      </c>
      <c r="H19" s="15">
        <v>4</v>
      </c>
      <c r="I19" s="15">
        <v>1</v>
      </c>
      <c r="J19" s="8"/>
      <c r="K19" s="8"/>
      <c r="L19" s="8" t="s">
        <v>104</v>
      </c>
      <c r="M19" s="14" t="s">
        <v>117</v>
      </c>
      <c r="N19" s="8" t="s">
        <v>170</v>
      </c>
    </row>
    <row r="20" spans="1:14" ht="21.75" customHeight="1" x14ac:dyDescent="0.25">
      <c r="A20" s="14">
        <v>15</v>
      </c>
      <c r="B20" s="5" t="s">
        <v>168</v>
      </c>
      <c r="C20" s="5" t="s">
        <v>100</v>
      </c>
      <c r="D20" s="5" t="s">
        <v>171</v>
      </c>
      <c r="E20" s="5" t="s">
        <v>112</v>
      </c>
      <c r="F20" s="5" t="s">
        <v>112</v>
      </c>
      <c r="G20" s="15">
        <v>15</v>
      </c>
      <c r="H20" s="15">
        <v>4</v>
      </c>
      <c r="I20" s="15">
        <v>1</v>
      </c>
      <c r="J20" s="5"/>
      <c r="K20" s="5"/>
      <c r="L20" s="5" t="s">
        <v>104</v>
      </c>
      <c r="M20" s="16" t="s">
        <v>144</v>
      </c>
      <c r="N20" s="5" t="s">
        <v>172</v>
      </c>
    </row>
    <row r="22" spans="1:14" ht="21.75" customHeight="1" x14ac:dyDescent="0.25">
      <c r="A22" s="96" t="s">
        <v>173</v>
      </c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</row>
    <row r="23" spans="1:14" ht="25.5" customHeight="1" x14ac:dyDescent="0.25">
      <c r="A23" s="104" t="s">
        <v>174</v>
      </c>
      <c r="B23" s="104"/>
      <c r="C23" s="104"/>
      <c r="D23" s="105">
        <f>COUNTA(B6:B20)</f>
        <v>15</v>
      </c>
      <c r="E23" s="105"/>
      <c r="F23" s="104" t="s">
        <v>175</v>
      </c>
      <c r="G23" s="104"/>
      <c r="H23" s="104"/>
      <c r="I23" s="105">
        <f>SUM(G6:G20)</f>
        <v>168</v>
      </c>
      <c r="J23" s="105"/>
      <c r="K23" s="104" t="s">
        <v>176</v>
      </c>
      <c r="L23" s="104"/>
      <c r="M23" s="105">
        <f>SUM(H6:H20)</f>
        <v>65</v>
      </c>
      <c r="N23" s="105"/>
    </row>
  </sheetData>
  <mergeCells count="10">
    <mergeCell ref="A1:N1"/>
    <mergeCell ref="A2:N2"/>
    <mergeCell ref="A3:N3"/>
    <mergeCell ref="A22:N22"/>
    <mergeCell ref="A23:C23"/>
    <mergeCell ref="D23:E23"/>
    <mergeCell ref="F23:H23"/>
    <mergeCell ref="I23:J23"/>
    <mergeCell ref="K23:L23"/>
    <mergeCell ref="M23:N23"/>
  </mergeCells>
  <conditionalFormatting sqref="L6:L20">
    <cfRule type="containsText" dxfId="99" priority="2" operator="containsText" text="Approved">
      <formula>NOT(ISERROR(SEARCH("Approved",L6)))</formula>
    </cfRule>
    <cfRule type="containsText" dxfId="98" priority="3" operator="containsText" text="Live">
      <formula>NOT(ISERROR(SEARCH("Live",L6)))</formula>
    </cfRule>
    <cfRule type="containsText" dxfId="97" priority="4" operator="containsText" text="Review">
      <formula>NOT(ISERROR(SEARCH("Review",L6)))</formula>
    </cfRule>
    <cfRule type="containsText" dxfId="96" priority="5" operator="containsText" text="In Progress">
      <formula>NOT(ISERROR(SEARCH("In Progress",L6)))</formula>
    </cfRule>
    <cfRule type="containsText" dxfId="95" priority="6" operator="containsText" text="Not Started">
      <formula>NOT(ISERROR(SEARCH("Not Started",L6)))</formula>
    </cfRule>
  </conditionalFormatting>
  <dataValidations count="4">
    <dataValidation type="list" allowBlank="1" sqref="L6:L20">
      <formula1>"Not Started,In Progress,Review,Approved,Live"</formula1>
      <formula2>0</formula2>
    </dataValidation>
    <dataValidation type="list" allowBlank="1" sqref="B6:B20">
      <formula1>"Google Search,Google Display,Google PMax,Google Demand Gen,Meta Facebook,Meta Instagram,Microsoft Bing"</formula1>
      <formula2>0</formula2>
    </dataValidation>
    <dataValidation type="list" allowBlank="1" sqref="C6:C20">
      <formula1>"RSA,Responsive,Performance Max,Demand Gen,Lead Gen,Conversions,Awareness,Stories"</formula1>
      <formula2>0</formula2>
    </dataValidation>
    <dataValidation type="list" allowBlank="1" sqref="M6:M20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565C0"/>
  </sheetPr>
  <dimension ref="A1:O42"/>
  <sheetViews>
    <sheetView showGridLines="0" topLeftCell="A33" zoomScaleNormal="100" workbookViewId="0">
      <selection sqref="A1:O1"/>
    </sheetView>
  </sheetViews>
  <sheetFormatPr defaultColWidth="8.7109375" defaultRowHeight="15" x14ac:dyDescent="0.25"/>
  <cols>
    <col min="1" max="1" width="4" style="1" customWidth="1"/>
    <col min="2" max="2" width="8" style="1" customWidth="1"/>
    <col min="3" max="3" width="52" style="1" customWidth="1"/>
    <col min="4" max="4" width="7" style="1" customWidth="1"/>
    <col min="5" max="5" width="6" style="1" customWidth="1"/>
    <col min="6" max="6" width="29.28515625" style="1" customWidth="1"/>
    <col min="7" max="7" width="3" style="1" customWidth="1"/>
    <col min="8" max="8" width="6" style="1" customWidth="1"/>
    <col min="9" max="9" width="50" style="1" customWidth="1"/>
    <col min="10" max="10" width="7" style="1" customWidth="1"/>
    <col min="11" max="11" width="6" style="1" customWidth="1"/>
    <col min="12" max="12" width="14" style="1" customWidth="1"/>
    <col min="13" max="15" width="3" style="1" customWidth="1"/>
  </cols>
  <sheetData>
    <row r="1" spans="1:15" ht="33.75" customHeight="1" x14ac:dyDescent="0.25">
      <c r="A1" s="102" t="s">
        <v>177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pans="1:15" ht="18" customHeight="1" x14ac:dyDescent="0.25">
      <c r="A2" s="101" t="s">
        <v>178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</row>
    <row r="3" spans="1:15" ht="7.5" customHeight="1" x14ac:dyDescent="0.25"/>
    <row r="4" spans="1:15" ht="21.75" customHeight="1" x14ac:dyDescent="0.25">
      <c r="A4" s="96" t="s">
        <v>179</v>
      </c>
      <c r="B4" s="96"/>
      <c r="C4" s="96"/>
      <c r="D4" s="96"/>
      <c r="E4" s="96"/>
      <c r="F4" s="96"/>
      <c r="H4" s="123" t="s">
        <v>180</v>
      </c>
      <c r="I4" s="123"/>
      <c r="J4" s="123"/>
      <c r="K4" s="123"/>
      <c r="L4" s="123"/>
      <c r="M4" s="123"/>
      <c r="N4" s="123"/>
      <c r="O4" s="123"/>
    </row>
    <row r="5" spans="1:15" ht="18" customHeight="1" x14ac:dyDescent="0.25">
      <c r="A5" s="6">
        <v>1</v>
      </c>
      <c r="B5" s="104" t="s">
        <v>88</v>
      </c>
      <c r="C5" s="104"/>
      <c r="D5" s="118" t="s">
        <v>101</v>
      </c>
      <c r="E5" s="118"/>
      <c r="F5" s="118"/>
      <c r="H5" s="97" t="s">
        <v>181</v>
      </c>
      <c r="I5" s="97"/>
      <c r="J5" s="97"/>
      <c r="K5" s="97"/>
      <c r="L5" s="97"/>
      <c r="M5" s="97"/>
      <c r="N5" s="97"/>
      <c r="O5" s="97"/>
    </row>
    <row r="6" spans="1:15" ht="21" customHeight="1" x14ac:dyDescent="0.25">
      <c r="A6" s="6">
        <v>2</v>
      </c>
      <c r="B6" s="104" t="s">
        <v>182</v>
      </c>
      <c r="C6" s="104"/>
      <c r="D6" s="118" t="s">
        <v>102</v>
      </c>
      <c r="E6" s="118"/>
      <c r="F6" s="118"/>
    </row>
    <row r="7" spans="1:15" ht="15.75" customHeight="1" x14ac:dyDescent="0.25">
      <c r="A7" s="6">
        <v>3</v>
      </c>
      <c r="B7" s="104" t="s">
        <v>183</v>
      </c>
      <c r="C7" s="104"/>
      <c r="D7" s="118" t="s">
        <v>184</v>
      </c>
      <c r="E7" s="118"/>
      <c r="F7" s="118"/>
      <c r="H7" s="122" t="s">
        <v>185</v>
      </c>
      <c r="I7" s="122"/>
      <c r="J7" s="122"/>
      <c r="K7" s="122"/>
      <c r="L7" s="122"/>
      <c r="M7" s="122"/>
      <c r="N7" s="122"/>
      <c r="O7" s="122"/>
    </row>
    <row r="8" spans="1:15" ht="18" customHeight="1" x14ac:dyDescent="0.25">
      <c r="A8" s="6">
        <v>4</v>
      </c>
      <c r="B8" s="104" t="s">
        <v>186</v>
      </c>
      <c r="C8" s="104"/>
      <c r="D8" s="118" t="s">
        <v>187</v>
      </c>
      <c r="E8" s="118"/>
      <c r="F8" s="118"/>
      <c r="H8" s="120" t="s">
        <v>188</v>
      </c>
      <c r="I8" s="120"/>
      <c r="J8" s="120"/>
      <c r="K8" s="120"/>
      <c r="L8" s="120"/>
      <c r="M8" s="120"/>
      <c r="N8" s="120"/>
      <c r="O8" s="120"/>
    </row>
    <row r="9" spans="1:15" ht="25.5" customHeight="1" x14ac:dyDescent="0.25">
      <c r="A9" s="6">
        <v>5</v>
      </c>
      <c r="B9" s="104" t="s">
        <v>189</v>
      </c>
      <c r="C9" s="104"/>
      <c r="D9" s="118" t="s">
        <v>190</v>
      </c>
      <c r="E9" s="118"/>
      <c r="F9" s="118"/>
      <c r="H9" s="121" t="str">
        <f>IF(C15="","[Headline 1]",C15)&amp;" | "&amp;IF(C16="","[Headline 2]",C16)&amp;" | "&amp;IF(C17="","[Headline 3]",C17)</f>
        <v>Looking For A Personal Loan? | LAMF @ 10.5%* p.a. | Smarter Than A Personal Loan</v>
      </c>
      <c r="I9" s="121"/>
      <c r="J9" s="121"/>
      <c r="K9" s="121"/>
      <c r="L9" s="121"/>
      <c r="M9" s="121"/>
      <c r="N9" s="121"/>
      <c r="O9" s="121"/>
    </row>
    <row r="10" spans="1:15" ht="18" customHeight="1" x14ac:dyDescent="0.25">
      <c r="A10" s="6">
        <v>6</v>
      </c>
      <c r="B10" s="104" t="s">
        <v>191</v>
      </c>
      <c r="C10" s="104"/>
      <c r="D10" s="118" t="s">
        <v>192</v>
      </c>
      <c r="E10" s="118"/>
      <c r="F10" s="118"/>
      <c r="H10" s="119" t="str">
        <f>"shriramcredit.com › "&amp;IF(F10="","lamf",F10)&amp;" › "&amp;IF(F11="","apply-now",F11)</f>
        <v>shriramcredit.com › lamf › apply-now</v>
      </c>
      <c r="I10" s="119"/>
      <c r="J10" s="119"/>
      <c r="K10" s="119"/>
      <c r="L10" s="119"/>
      <c r="M10" s="119"/>
      <c r="N10" s="119"/>
      <c r="O10" s="119"/>
    </row>
    <row r="11" spans="1:15" ht="21.75" customHeight="1" x14ac:dyDescent="0.25">
      <c r="A11" s="6">
        <v>7</v>
      </c>
      <c r="B11" s="104" t="s">
        <v>193</v>
      </c>
      <c r="C11" s="104"/>
      <c r="D11" s="118" t="s">
        <v>194</v>
      </c>
      <c r="E11" s="118"/>
      <c r="F11" s="118"/>
      <c r="H11" s="114" t="str">
        <f>IF(C33="","[Description 1 — will appear here]",C33)&amp;" "&amp;IF(C34="","",C34)</f>
        <v>Skip the personal loan. Pledge your MF units &amp; get funds at 10.5%* p.a. Stay invested. MF units lien-marked, not sold. Your portfolio grows while you access the cash you need.</v>
      </c>
      <c r="I11" s="114"/>
      <c r="J11" s="114"/>
      <c r="K11" s="114"/>
      <c r="L11" s="114"/>
      <c r="M11" s="114"/>
      <c r="N11" s="114"/>
      <c r="O11" s="114"/>
    </row>
    <row r="12" spans="1:15" ht="21.75" customHeight="1" x14ac:dyDescent="0.25">
      <c r="H12" s="114"/>
      <c r="I12" s="114"/>
      <c r="J12" s="114"/>
      <c r="K12" s="114"/>
      <c r="L12" s="114"/>
      <c r="M12" s="114"/>
      <c r="N12" s="114"/>
      <c r="O12" s="114"/>
    </row>
    <row r="13" spans="1:15" ht="22.5" customHeight="1" x14ac:dyDescent="0.25">
      <c r="A13" s="96" t="s">
        <v>195</v>
      </c>
      <c r="B13" s="96"/>
      <c r="C13" s="96"/>
      <c r="D13" s="96"/>
      <c r="E13" s="96"/>
      <c r="F13" s="96"/>
    </row>
    <row r="14" spans="1:15" ht="15.75" customHeight="1" x14ac:dyDescent="0.25">
      <c r="A14" s="2" t="s">
        <v>85</v>
      </c>
      <c r="B14" s="2" t="s">
        <v>196</v>
      </c>
      <c r="C14" s="2" t="s">
        <v>197</v>
      </c>
      <c r="D14" s="2" t="s">
        <v>198</v>
      </c>
      <c r="E14" s="2" t="s">
        <v>199</v>
      </c>
      <c r="F14" s="2" t="s">
        <v>200</v>
      </c>
      <c r="H14" s="117" t="s">
        <v>201</v>
      </c>
      <c r="I14" s="117"/>
      <c r="J14" s="117"/>
      <c r="K14" s="117"/>
      <c r="L14" s="117"/>
      <c r="M14" s="117"/>
      <c r="N14" s="117"/>
      <c r="O14" s="117"/>
    </row>
    <row r="15" spans="1:15" ht="18" customHeight="1" x14ac:dyDescent="0.25">
      <c r="A15" s="3">
        <v>1</v>
      </c>
      <c r="B15" s="17" t="s">
        <v>202</v>
      </c>
      <c r="C15" s="5" t="s">
        <v>203</v>
      </c>
      <c r="D15" s="18">
        <f t="shared" ref="D15:D29" si="0">LEN(C15)</f>
        <v>28</v>
      </c>
      <c r="E15" s="17">
        <v>30</v>
      </c>
      <c r="F15" s="19" t="str">
        <f t="shared" ref="F15:F29" si="1">IF(C15="","—",IF(LEN(C15)&lt;=30,"✓ OK","✗ "&amp;(LEN(C15)-30)&amp;" over"))</f>
        <v>✓ OK</v>
      </c>
      <c r="H15" s="115" t="s">
        <v>204</v>
      </c>
      <c r="I15" s="115"/>
      <c r="J15" s="116" t="s">
        <v>205</v>
      </c>
      <c r="K15" s="116"/>
      <c r="L15" s="116"/>
      <c r="M15" s="116"/>
      <c r="N15" s="116"/>
      <c r="O15" s="116"/>
    </row>
    <row r="16" spans="1:15" ht="18" customHeight="1" x14ac:dyDescent="0.25">
      <c r="A16" s="20">
        <v>2</v>
      </c>
      <c r="B16" s="21" t="s">
        <v>206</v>
      </c>
      <c r="C16" s="22" t="s">
        <v>207</v>
      </c>
      <c r="D16" s="23">
        <f t="shared" si="0"/>
        <v>18</v>
      </c>
      <c r="E16" s="24">
        <v>30</v>
      </c>
      <c r="F16" s="25" t="str">
        <f t="shared" si="1"/>
        <v>✓ OK</v>
      </c>
      <c r="H16" s="115" t="s">
        <v>208</v>
      </c>
      <c r="I16" s="115"/>
      <c r="J16" s="116" t="s">
        <v>209</v>
      </c>
      <c r="K16" s="116"/>
      <c r="L16" s="116"/>
      <c r="M16" s="116"/>
      <c r="N16" s="116"/>
      <c r="O16" s="116"/>
    </row>
    <row r="17" spans="1:15" ht="18" customHeight="1" x14ac:dyDescent="0.25">
      <c r="A17" s="3">
        <v>3</v>
      </c>
      <c r="B17" s="17" t="s">
        <v>202</v>
      </c>
      <c r="C17" s="5" t="s">
        <v>210</v>
      </c>
      <c r="D17" s="18">
        <f t="shared" si="0"/>
        <v>28</v>
      </c>
      <c r="E17" s="17">
        <v>30</v>
      </c>
      <c r="F17" s="19" t="str">
        <f t="shared" si="1"/>
        <v>✓ OK</v>
      </c>
      <c r="H17" s="115" t="s">
        <v>211</v>
      </c>
      <c r="I17" s="115"/>
      <c r="J17" s="116" t="s">
        <v>212</v>
      </c>
      <c r="K17" s="116"/>
      <c r="L17" s="116"/>
      <c r="M17" s="116"/>
      <c r="N17" s="116"/>
      <c r="O17" s="116"/>
    </row>
    <row r="18" spans="1:15" ht="18" customHeight="1" x14ac:dyDescent="0.25">
      <c r="A18" s="6">
        <v>4</v>
      </c>
      <c r="B18" s="26" t="s">
        <v>202</v>
      </c>
      <c r="C18" s="8" t="s">
        <v>213</v>
      </c>
      <c r="D18" s="27">
        <f t="shared" si="0"/>
        <v>28</v>
      </c>
      <c r="E18" s="26">
        <v>30</v>
      </c>
      <c r="F18" s="28" t="str">
        <f t="shared" si="1"/>
        <v>✓ OK</v>
      </c>
      <c r="H18" s="115" t="s">
        <v>214</v>
      </c>
      <c r="I18" s="115"/>
      <c r="J18" s="116" t="s">
        <v>215</v>
      </c>
      <c r="K18" s="116"/>
      <c r="L18" s="116"/>
      <c r="M18" s="116"/>
      <c r="N18" s="116"/>
      <c r="O18" s="116"/>
    </row>
    <row r="19" spans="1:15" ht="27.75" customHeight="1" x14ac:dyDescent="0.25">
      <c r="A19" s="3">
        <v>5</v>
      </c>
      <c r="B19" s="17" t="s">
        <v>202</v>
      </c>
      <c r="C19" s="5" t="s">
        <v>216</v>
      </c>
      <c r="D19" s="18">
        <f t="shared" si="0"/>
        <v>25</v>
      </c>
      <c r="E19" s="17">
        <v>30</v>
      </c>
      <c r="F19" s="19" t="str">
        <f t="shared" si="1"/>
        <v>✓ OK</v>
      </c>
      <c r="H19" s="29"/>
      <c r="I19" s="30"/>
      <c r="J19" s="30"/>
      <c r="K19" s="30"/>
      <c r="L19" s="30"/>
      <c r="M19" s="30"/>
      <c r="N19" s="30"/>
      <c r="O19" s="31"/>
    </row>
    <row r="20" spans="1:15" x14ac:dyDescent="0.25">
      <c r="A20" s="6">
        <v>6</v>
      </c>
      <c r="B20" s="26" t="s">
        <v>202</v>
      </c>
      <c r="C20" s="8" t="s">
        <v>217</v>
      </c>
      <c r="D20" s="27">
        <f t="shared" si="0"/>
        <v>20</v>
      </c>
      <c r="E20" s="26">
        <v>30</v>
      </c>
      <c r="F20" s="28" t="str">
        <f t="shared" si="1"/>
        <v>✓ OK</v>
      </c>
    </row>
    <row r="21" spans="1:15" x14ac:dyDescent="0.25">
      <c r="A21" s="3">
        <v>7</v>
      </c>
      <c r="B21" s="17" t="s">
        <v>202</v>
      </c>
      <c r="C21" s="5" t="s">
        <v>218</v>
      </c>
      <c r="D21" s="18">
        <f t="shared" si="0"/>
        <v>25</v>
      </c>
      <c r="E21" s="17">
        <v>30</v>
      </c>
      <c r="F21" s="19" t="str">
        <f t="shared" si="1"/>
        <v>✓ OK</v>
      </c>
      <c r="H21" s="117" t="s">
        <v>219</v>
      </c>
      <c r="I21" s="117"/>
      <c r="J21" s="117"/>
      <c r="K21" s="117"/>
      <c r="L21" s="117"/>
      <c r="M21" s="117"/>
      <c r="N21" s="117"/>
      <c r="O21" s="117"/>
    </row>
    <row r="22" spans="1:15" ht="18" customHeight="1" x14ac:dyDescent="0.25">
      <c r="A22" s="6">
        <v>8</v>
      </c>
      <c r="B22" s="26" t="s">
        <v>202</v>
      </c>
      <c r="C22" s="8" t="s">
        <v>790</v>
      </c>
      <c r="D22" s="27">
        <f t="shared" si="0"/>
        <v>22</v>
      </c>
      <c r="E22" s="26">
        <v>30</v>
      </c>
      <c r="F22" s="28" t="str">
        <f t="shared" si="1"/>
        <v>✓ OK</v>
      </c>
      <c r="H22" s="112" t="s">
        <v>220</v>
      </c>
      <c r="I22" s="112"/>
      <c r="J22" s="112"/>
      <c r="K22" s="112"/>
      <c r="L22" s="112"/>
      <c r="M22" s="112"/>
      <c r="N22" s="112"/>
      <c r="O22" s="112"/>
    </row>
    <row r="23" spans="1:15" ht="25.5" customHeight="1" x14ac:dyDescent="0.25">
      <c r="A23" s="3">
        <v>9</v>
      </c>
      <c r="B23" s="17" t="s">
        <v>202</v>
      </c>
      <c r="C23" s="5" t="s">
        <v>221</v>
      </c>
      <c r="D23" s="18">
        <f t="shared" si="0"/>
        <v>28</v>
      </c>
      <c r="E23" s="17">
        <v>30</v>
      </c>
      <c r="F23" s="19" t="str">
        <f t="shared" si="1"/>
        <v>✓ OK</v>
      </c>
      <c r="H23" s="113" t="str">
        <f>IF(C15="","[Headline 1]",C15)&amp;" | "&amp;IF(C16="","[Headline 2]",C16)</f>
        <v>Looking For A Personal Loan? | LAMF @ 10.5%* p.a.</v>
      </c>
      <c r="I23" s="113"/>
      <c r="J23" s="113"/>
      <c r="K23" s="113"/>
      <c r="L23" s="113"/>
      <c r="M23" s="113"/>
      <c r="N23" s="113"/>
      <c r="O23" s="113"/>
    </row>
    <row r="24" spans="1:15" ht="21.75" customHeight="1" x14ac:dyDescent="0.25">
      <c r="A24" s="20">
        <v>10</v>
      </c>
      <c r="B24" s="21" t="s">
        <v>222</v>
      </c>
      <c r="C24" s="32" t="s">
        <v>223</v>
      </c>
      <c r="D24" s="23">
        <f t="shared" si="0"/>
        <v>26</v>
      </c>
      <c r="E24" s="24">
        <v>30</v>
      </c>
      <c r="F24" s="25" t="str">
        <f t="shared" si="1"/>
        <v>✓ OK</v>
      </c>
      <c r="H24" s="114" t="str">
        <f>IF(C33="","[Description 1]",LEFT(C33,80)&amp;"...")</f>
        <v>Skip the personal loan. Pledge your MF units &amp; get funds at 10.5%* p.a. Stay inv...</v>
      </c>
      <c r="I24" s="114"/>
      <c r="J24" s="114"/>
      <c r="K24" s="114"/>
      <c r="L24" s="114"/>
      <c r="M24" s="114"/>
      <c r="N24" s="114"/>
      <c r="O24" s="114"/>
    </row>
    <row r="25" spans="1:15" ht="21.75" customHeight="1" x14ac:dyDescent="0.25">
      <c r="A25" s="3">
        <v>11</v>
      </c>
      <c r="B25" s="17" t="s">
        <v>202</v>
      </c>
      <c r="C25" s="5" t="s">
        <v>224</v>
      </c>
      <c r="D25" s="18">
        <f t="shared" si="0"/>
        <v>21</v>
      </c>
      <c r="E25" s="17">
        <v>30</v>
      </c>
      <c r="F25" s="19" t="str">
        <f t="shared" si="1"/>
        <v>✓ OK</v>
      </c>
      <c r="H25" s="114"/>
      <c r="I25" s="114"/>
      <c r="J25" s="114"/>
      <c r="K25" s="114"/>
      <c r="L25" s="114"/>
      <c r="M25" s="114"/>
      <c r="N25" s="114"/>
      <c r="O25" s="114"/>
    </row>
    <row r="26" spans="1:15" ht="30" customHeight="1" x14ac:dyDescent="0.25">
      <c r="A26" s="6">
        <v>12</v>
      </c>
      <c r="B26" s="26" t="s">
        <v>202</v>
      </c>
      <c r="C26" s="8" t="s">
        <v>225</v>
      </c>
      <c r="D26" s="27">
        <f t="shared" si="0"/>
        <v>23</v>
      </c>
      <c r="E26" s="26">
        <v>30</v>
      </c>
      <c r="F26" s="28" t="str">
        <f t="shared" si="1"/>
        <v>✓ OK</v>
      </c>
    </row>
    <row r="27" spans="1:15" ht="19.5" customHeight="1" x14ac:dyDescent="0.25">
      <c r="A27" s="3">
        <v>13</v>
      </c>
      <c r="B27" s="17" t="s">
        <v>202</v>
      </c>
      <c r="C27" s="5" t="s">
        <v>226</v>
      </c>
      <c r="D27" s="18">
        <f t="shared" si="0"/>
        <v>27</v>
      </c>
      <c r="E27" s="17">
        <v>30</v>
      </c>
      <c r="F27" s="19" t="str">
        <f t="shared" si="1"/>
        <v>✓ OK</v>
      </c>
      <c r="H27" s="109" t="s">
        <v>227</v>
      </c>
      <c r="I27" s="109"/>
      <c r="J27" s="109"/>
      <c r="K27" s="109"/>
      <c r="L27" s="109"/>
      <c r="M27" s="109"/>
      <c r="N27" s="109"/>
      <c r="O27" s="109"/>
    </row>
    <row r="28" spans="1:15" ht="21.75" customHeight="1" x14ac:dyDescent="0.25">
      <c r="A28" s="6">
        <v>14</v>
      </c>
      <c r="B28" s="26" t="s">
        <v>202</v>
      </c>
      <c r="C28" s="8" t="s">
        <v>228</v>
      </c>
      <c r="D28" s="27">
        <f t="shared" si="0"/>
        <v>29</v>
      </c>
      <c r="E28" s="26">
        <v>30</v>
      </c>
      <c r="F28" s="28" t="str">
        <f t="shared" si="1"/>
        <v>✓ OK</v>
      </c>
      <c r="H28" s="33" t="s">
        <v>229</v>
      </c>
      <c r="I28" s="33" t="s">
        <v>230</v>
      </c>
      <c r="J28" s="33" t="s">
        <v>231</v>
      </c>
      <c r="K28" s="33" t="s">
        <v>232</v>
      </c>
    </row>
    <row r="29" spans="1:15" ht="21.75" customHeight="1" x14ac:dyDescent="0.25">
      <c r="A29" s="3">
        <v>15</v>
      </c>
      <c r="B29" s="17" t="s">
        <v>202</v>
      </c>
      <c r="C29" s="5" t="s">
        <v>233</v>
      </c>
      <c r="D29" s="18">
        <f t="shared" si="0"/>
        <v>24</v>
      </c>
      <c r="E29" s="17">
        <v>30</v>
      </c>
      <c r="F29" s="19" t="str">
        <f t="shared" si="1"/>
        <v>✓ OK</v>
      </c>
      <c r="H29" s="34" t="s">
        <v>234</v>
      </c>
      <c r="I29" s="34" t="s">
        <v>235</v>
      </c>
      <c r="J29" s="34" t="s">
        <v>236</v>
      </c>
      <c r="K29" s="34" t="s">
        <v>237</v>
      </c>
    </row>
    <row r="30" spans="1:15" ht="21.75" customHeight="1" x14ac:dyDescent="0.25">
      <c r="H30" s="35" t="s">
        <v>238</v>
      </c>
      <c r="I30" s="35" t="s">
        <v>239</v>
      </c>
      <c r="J30" s="35" t="s">
        <v>240</v>
      </c>
      <c r="K30" s="35" t="s">
        <v>241</v>
      </c>
    </row>
    <row r="31" spans="1:15" ht="21.75" customHeight="1" x14ac:dyDescent="0.25">
      <c r="A31" s="96" t="s">
        <v>242</v>
      </c>
      <c r="B31" s="96"/>
      <c r="C31" s="96"/>
      <c r="D31" s="96"/>
      <c r="E31" s="96"/>
      <c r="F31" s="96"/>
      <c r="H31" s="34" t="s">
        <v>243</v>
      </c>
      <c r="I31" s="34" t="s">
        <v>244</v>
      </c>
      <c r="J31" s="34" t="s">
        <v>245</v>
      </c>
      <c r="K31" s="34" t="s">
        <v>246</v>
      </c>
    </row>
    <row r="32" spans="1:15" ht="21.75" customHeight="1" x14ac:dyDescent="0.25">
      <c r="A32" s="2" t="s">
        <v>85</v>
      </c>
      <c r="B32" s="2" t="s">
        <v>196</v>
      </c>
      <c r="C32" s="2" t="s">
        <v>247</v>
      </c>
      <c r="D32" s="2" t="s">
        <v>198</v>
      </c>
      <c r="E32" s="2" t="s">
        <v>199</v>
      </c>
      <c r="F32" s="2" t="s">
        <v>200</v>
      </c>
      <c r="H32" s="35" t="s">
        <v>248</v>
      </c>
      <c r="I32" s="35" t="s">
        <v>249</v>
      </c>
      <c r="J32" s="35" t="s">
        <v>250</v>
      </c>
      <c r="K32" s="35" t="s">
        <v>251</v>
      </c>
    </row>
    <row r="33" spans="1:15" ht="30" customHeight="1" x14ac:dyDescent="0.25">
      <c r="A33" s="20">
        <v>1</v>
      </c>
      <c r="B33" s="21" t="s">
        <v>252</v>
      </c>
      <c r="C33" s="36" t="s">
        <v>253</v>
      </c>
      <c r="D33" s="23">
        <f>LEN(C33)</f>
        <v>86</v>
      </c>
      <c r="E33" s="24">
        <v>90</v>
      </c>
      <c r="F33" s="25" t="str">
        <f>IF(C33="","—",IF(LEN(C33)&lt;=90,"✓ OK","✗ "&amp;(LEN(C33)-90)&amp;" over"))</f>
        <v>✓ OK</v>
      </c>
      <c r="H33" s="34" t="s">
        <v>254</v>
      </c>
      <c r="I33" s="34" t="s">
        <v>249</v>
      </c>
      <c r="J33" s="34" t="s">
        <v>255</v>
      </c>
      <c r="K33" s="34" t="s">
        <v>256</v>
      </c>
    </row>
    <row r="34" spans="1:15" ht="35.25" customHeight="1" x14ac:dyDescent="0.25">
      <c r="A34" s="3">
        <v>2</v>
      </c>
      <c r="B34" s="17" t="s">
        <v>202</v>
      </c>
      <c r="C34" s="36" t="s">
        <v>257</v>
      </c>
      <c r="D34" s="18">
        <f>LEN(C34)</f>
        <v>88</v>
      </c>
      <c r="E34" s="17">
        <v>90</v>
      </c>
      <c r="F34" s="19" t="str">
        <f>IF(C34="","—",IF(LEN(C34)&lt;=90,"✓ OK","✗ "&amp;(LEN(C34)-90)&amp;" over"))</f>
        <v>✓ OK</v>
      </c>
    </row>
    <row r="35" spans="1:15" ht="38.25" customHeight="1" x14ac:dyDescent="0.25">
      <c r="A35" s="6">
        <v>3</v>
      </c>
      <c r="B35" s="26" t="s">
        <v>202</v>
      </c>
      <c r="C35" s="36" t="s">
        <v>258</v>
      </c>
      <c r="D35" s="27">
        <f>LEN(C35)</f>
        <v>90</v>
      </c>
      <c r="E35" s="26">
        <v>90</v>
      </c>
      <c r="F35" s="28" t="str">
        <f>IF(C35="","—",IF(LEN(C35)&lt;=90,"✓ OK","✗ "&amp;(LEN(C35)-90)&amp;" over"))</f>
        <v>✓ OK</v>
      </c>
      <c r="H35" s="109" t="s">
        <v>259</v>
      </c>
      <c r="I35" s="109"/>
      <c r="J35" s="109"/>
      <c r="K35" s="109"/>
      <c r="L35" s="109"/>
      <c r="M35" s="109"/>
      <c r="N35" s="109"/>
      <c r="O35" s="109"/>
    </row>
    <row r="36" spans="1:15" ht="42" customHeight="1" x14ac:dyDescent="0.25">
      <c r="A36" s="20">
        <v>4</v>
      </c>
      <c r="B36" s="21" t="s">
        <v>206</v>
      </c>
      <c r="C36" s="36" t="s">
        <v>260</v>
      </c>
      <c r="D36" s="23">
        <f>LEN(C36)</f>
        <v>89</v>
      </c>
      <c r="E36" s="24">
        <v>90</v>
      </c>
      <c r="F36" s="25" t="str">
        <f>IF(C36="","—",IF(LEN(C36)&lt;=90,"✓ OK","✗ "&amp;(LEN(C36)-90)&amp;" over"))</f>
        <v>✓ OK</v>
      </c>
      <c r="H36" s="107" t="s">
        <v>261</v>
      </c>
      <c r="I36" s="107"/>
      <c r="J36" s="99" t="s">
        <v>262</v>
      </c>
      <c r="K36" s="99"/>
      <c r="L36" s="99"/>
      <c r="M36" s="99"/>
      <c r="N36" s="99"/>
      <c r="O36" s="99"/>
    </row>
    <row r="37" spans="1:15" ht="21.75" customHeight="1" x14ac:dyDescent="0.25">
      <c r="H37" s="110" t="s">
        <v>263</v>
      </c>
      <c r="I37" s="110"/>
      <c r="J37" s="111" t="s">
        <v>264</v>
      </c>
      <c r="K37" s="111"/>
      <c r="L37" s="111"/>
      <c r="M37" s="111"/>
      <c r="N37" s="111"/>
      <c r="O37" s="111"/>
    </row>
    <row r="38" spans="1:15" ht="21.75" customHeight="1" x14ac:dyDescent="0.25">
      <c r="H38" s="107" t="s">
        <v>265</v>
      </c>
      <c r="I38" s="107"/>
      <c r="J38" s="99" t="s">
        <v>266</v>
      </c>
      <c r="K38" s="99"/>
      <c r="L38" s="99"/>
      <c r="M38" s="99"/>
      <c r="N38" s="99"/>
      <c r="O38" s="99"/>
    </row>
    <row r="39" spans="1:15" ht="21.75" customHeight="1" x14ac:dyDescent="0.25">
      <c r="H39" s="108" t="s">
        <v>267</v>
      </c>
      <c r="I39" s="108"/>
      <c r="J39" s="98" t="s">
        <v>268</v>
      </c>
      <c r="K39" s="98"/>
      <c r="L39" s="98"/>
      <c r="M39" s="98"/>
      <c r="N39" s="98"/>
      <c r="O39" s="98"/>
    </row>
    <row r="40" spans="1:15" ht="21.75" customHeight="1" x14ac:dyDescent="0.25">
      <c r="H40" s="107" t="s">
        <v>269</v>
      </c>
      <c r="I40" s="107"/>
      <c r="J40" s="99" t="s">
        <v>270</v>
      </c>
      <c r="K40" s="99"/>
      <c r="L40" s="99"/>
      <c r="M40" s="99"/>
      <c r="N40" s="99"/>
      <c r="O40" s="99"/>
    </row>
    <row r="41" spans="1:15" ht="7.5" customHeight="1" x14ac:dyDescent="0.25"/>
    <row r="42" spans="1:15" ht="30" customHeight="1" x14ac:dyDescent="0.25">
      <c r="A42" s="106" t="s">
        <v>271</v>
      </c>
      <c r="B42" s="106"/>
      <c r="C42" s="106"/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</row>
  </sheetData>
  <mergeCells count="52">
    <mergeCell ref="A1:O1"/>
    <mergeCell ref="A2:O2"/>
    <mergeCell ref="A4:F4"/>
    <mergeCell ref="H4:O4"/>
    <mergeCell ref="B5:C5"/>
    <mergeCell ref="D5:F5"/>
    <mergeCell ref="H5:O5"/>
    <mergeCell ref="B6:C6"/>
    <mergeCell ref="D6:F6"/>
    <mergeCell ref="B7:C7"/>
    <mergeCell ref="D7:F7"/>
    <mergeCell ref="H7:O7"/>
    <mergeCell ref="B8:C8"/>
    <mergeCell ref="D8:F8"/>
    <mergeCell ref="H8:O8"/>
    <mergeCell ref="B9:C9"/>
    <mergeCell ref="D9:F9"/>
    <mergeCell ref="H9:O9"/>
    <mergeCell ref="B10:C10"/>
    <mergeCell ref="D10:F10"/>
    <mergeCell ref="H10:O10"/>
    <mergeCell ref="B11:C11"/>
    <mergeCell ref="D11:F11"/>
    <mergeCell ref="H11:O12"/>
    <mergeCell ref="A13:F13"/>
    <mergeCell ref="H14:O14"/>
    <mergeCell ref="H15:I15"/>
    <mergeCell ref="J15:O15"/>
    <mergeCell ref="H16:I16"/>
    <mergeCell ref="J16:O16"/>
    <mergeCell ref="H17:I17"/>
    <mergeCell ref="J17:O17"/>
    <mergeCell ref="H18:I18"/>
    <mergeCell ref="J18:O18"/>
    <mergeCell ref="H21:O21"/>
    <mergeCell ref="H22:O22"/>
    <mergeCell ref="H23:O23"/>
    <mergeCell ref="H24:O25"/>
    <mergeCell ref="H27:O27"/>
    <mergeCell ref="A31:F31"/>
    <mergeCell ref="H35:O35"/>
    <mergeCell ref="H36:I36"/>
    <mergeCell ref="J36:O36"/>
    <mergeCell ref="H37:I37"/>
    <mergeCell ref="J37:O37"/>
    <mergeCell ref="A42:O42"/>
    <mergeCell ref="H38:I38"/>
    <mergeCell ref="J38:O38"/>
    <mergeCell ref="H39:I39"/>
    <mergeCell ref="J39:O39"/>
    <mergeCell ref="H40:I40"/>
    <mergeCell ref="J40:O40"/>
  </mergeCells>
  <conditionalFormatting sqref="D15:D29">
    <cfRule type="cellIs" dxfId="94" priority="2" operator="greaterThan">
      <formula>30</formula>
    </cfRule>
    <cfRule type="cellIs" dxfId="93" priority="3" operator="between">
      <formula>27</formula>
      <formula>30</formula>
    </cfRule>
    <cfRule type="cellIs" dxfId="92" priority="4" operator="lessThan">
      <formula>27</formula>
    </cfRule>
  </conditionalFormatting>
  <conditionalFormatting sqref="F15:F29">
    <cfRule type="containsText" dxfId="91" priority="5" operator="containsText" text="OVER">
      <formula>NOT(ISERROR(SEARCH("OVER",F15)))</formula>
    </cfRule>
    <cfRule type="containsText" dxfId="90" priority="6" operator="containsText" text="OK">
      <formula>NOT(ISERROR(SEARCH("OK",F15)))</formula>
    </cfRule>
  </conditionalFormatting>
  <conditionalFormatting sqref="D33:D36">
    <cfRule type="cellIs" dxfId="89" priority="7" operator="greaterThan">
      <formula>90</formula>
    </cfRule>
    <cfRule type="cellIs" dxfId="88" priority="8" operator="between">
      <formula>87</formula>
      <formula>90</formula>
    </cfRule>
    <cfRule type="cellIs" dxfId="87" priority="9" operator="lessThan">
      <formula>87</formula>
    </cfRule>
  </conditionalFormatting>
  <conditionalFormatting sqref="F33:F36">
    <cfRule type="containsText" dxfId="86" priority="10" operator="containsText" text="OVER">
      <formula>NOT(ISERROR(SEARCH("OVER",F33)))</formula>
    </cfRule>
    <cfRule type="containsText" dxfId="85" priority="11" operator="containsText" text="OK">
      <formula>NOT(ISERROR(SEARCH("OK",F33)))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A1B9A"/>
  </sheetPr>
  <dimension ref="A1:H56"/>
  <sheetViews>
    <sheetView showGridLines="0" zoomScaleNormal="100" workbookViewId="0">
      <selection sqref="A1:H1"/>
    </sheetView>
  </sheetViews>
  <sheetFormatPr defaultColWidth="8.7109375" defaultRowHeight="15" x14ac:dyDescent="0.25"/>
  <cols>
    <col min="1" max="1" width="4" style="1" customWidth="1"/>
    <col min="2" max="2" width="28" style="1" customWidth="1"/>
    <col min="3" max="5" width="30" style="1" customWidth="1"/>
    <col min="6" max="6" width="12" style="1" customWidth="1"/>
    <col min="7" max="7" width="10" style="1" customWidth="1"/>
    <col min="8" max="8" width="14" style="1" customWidth="1"/>
  </cols>
  <sheetData>
    <row r="1" spans="1:8" ht="33.75" customHeight="1" x14ac:dyDescent="0.25">
      <c r="A1" s="102" t="s">
        <v>272</v>
      </c>
      <c r="B1" s="102"/>
      <c r="C1" s="102"/>
      <c r="D1" s="102"/>
      <c r="E1" s="102"/>
      <c r="F1" s="102"/>
      <c r="G1" s="102"/>
      <c r="H1" s="102"/>
    </row>
    <row r="2" spans="1:8" ht="18" customHeight="1" x14ac:dyDescent="0.25">
      <c r="A2" s="101" t="s">
        <v>273</v>
      </c>
      <c r="B2" s="101"/>
      <c r="C2" s="101"/>
      <c r="D2" s="101"/>
      <c r="E2" s="101"/>
      <c r="F2" s="101"/>
      <c r="G2" s="101"/>
      <c r="H2" s="101"/>
    </row>
    <row r="3" spans="1:8" ht="7.5" customHeight="1" x14ac:dyDescent="0.25"/>
    <row r="4" spans="1:8" ht="21.75" customHeight="1" x14ac:dyDescent="0.25">
      <c r="A4" s="96" t="s">
        <v>274</v>
      </c>
      <c r="B4" s="96"/>
      <c r="C4" s="96"/>
      <c r="D4" s="96"/>
      <c r="E4" s="96"/>
      <c r="F4" s="96"/>
      <c r="G4" s="96"/>
      <c r="H4" s="96"/>
    </row>
    <row r="5" spans="1:8" ht="36" customHeight="1" x14ac:dyDescent="0.25">
      <c r="A5" s="2" t="s">
        <v>85</v>
      </c>
      <c r="B5" s="2" t="s">
        <v>275</v>
      </c>
      <c r="C5" s="2" t="s">
        <v>276</v>
      </c>
      <c r="D5" s="2" t="s">
        <v>277</v>
      </c>
      <c r="E5" s="2" t="s">
        <v>189</v>
      </c>
      <c r="F5" s="2" t="s">
        <v>278</v>
      </c>
      <c r="G5" s="2" t="s">
        <v>199</v>
      </c>
      <c r="H5" s="2" t="s">
        <v>96</v>
      </c>
    </row>
    <row r="6" spans="1:8" ht="21.75" customHeight="1" x14ac:dyDescent="0.25">
      <c r="A6" s="3">
        <v>1</v>
      </c>
      <c r="B6" s="5" t="s">
        <v>204</v>
      </c>
      <c r="C6" s="5" t="s">
        <v>205</v>
      </c>
      <c r="D6" s="5" t="s">
        <v>279</v>
      </c>
      <c r="E6" s="37" t="s">
        <v>190</v>
      </c>
      <c r="F6" s="38">
        <f t="shared" ref="F6:F13" si="0">LEN(B6)</f>
        <v>14</v>
      </c>
      <c r="G6" s="3">
        <v>25</v>
      </c>
      <c r="H6" s="19" t="str">
        <f t="shared" ref="H6:H13" si="1">IF(B6="","—",IF(LEN(B6)&lt;=25,"✓ OK","✗ "&amp;(LEN(B6)-25)&amp;" over"))</f>
        <v>✓ OK</v>
      </c>
    </row>
    <row r="7" spans="1:8" ht="21.75" customHeight="1" x14ac:dyDescent="0.25">
      <c r="A7" s="6">
        <v>2</v>
      </c>
      <c r="B7" s="8" t="s">
        <v>208</v>
      </c>
      <c r="C7" s="8" t="s">
        <v>280</v>
      </c>
      <c r="D7" s="8" t="s">
        <v>281</v>
      </c>
      <c r="E7" s="39" t="s">
        <v>282</v>
      </c>
      <c r="F7" s="40">
        <f t="shared" si="0"/>
        <v>20</v>
      </c>
      <c r="G7" s="6">
        <v>25</v>
      </c>
      <c r="H7" s="28" t="str">
        <f t="shared" si="1"/>
        <v>✓ OK</v>
      </c>
    </row>
    <row r="8" spans="1:8" ht="21.75" customHeight="1" x14ac:dyDescent="0.25">
      <c r="A8" s="3">
        <v>3</v>
      </c>
      <c r="B8" s="5" t="s">
        <v>211</v>
      </c>
      <c r="C8" s="5" t="s">
        <v>283</v>
      </c>
      <c r="D8" s="5" t="s">
        <v>284</v>
      </c>
      <c r="E8" s="37" t="s">
        <v>285</v>
      </c>
      <c r="F8" s="38">
        <f t="shared" si="0"/>
        <v>9</v>
      </c>
      <c r="G8" s="3">
        <v>25</v>
      </c>
      <c r="H8" s="19" t="str">
        <f t="shared" si="1"/>
        <v>✓ OK</v>
      </c>
    </row>
    <row r="9" spans="1:8" ht="21.75" customHeight="1" x14ac:dyDescent="0.25">
      <c r="A9" s="6">
        <v>4</v>
      </c>
      <c r="B9" s="8" t="s">
        <v>214</v>
      </c>
      <c r="C9" s="8" t="s">
        <v>215</v>
      </c>
      <c r="D9" s="8" t="s">
        <v>286</v>
      </c>
      <c r="E9" s="39" t="s">
        <v>287</v>
      </c>
      <c r="F9" s="40">
        <f t="shared" si="0"/>
        <v>20</v>
      </c>
      <c r="G9" s="6">
        <v>25</v>
      </c>
      <c r="H9" s="28" t="str">
        <f t="shared" si="1"/>
        <v>✓ OK</v>
      </c>
    </row>
    <row r="10" spans="1:8" ht="21.75" customHeight="1" x14ac:dyDescent="0.25">
      <c r="A10" s="3">
        <v>5</v>
      </c>
      <c r="B10" s="5" t="s">
        <v>288</v>
      </c>
      <c r="C10" s="5" t="s">
        <v>289</v>
      </c>
      <c r="D10" s="5" t="s">
        <v>290</v>
      </c>
      <c r="E10" s="37" t="s">
        <v>291</v>
      </c>
      <c r="F10" s="38">
        <f t="shared" si="0"/>
        <v>19</v>
      </c>
      <c r="G10" s="3">
        <v>25</v>
      </c>
      <c r="H10" s="19" t="str">
        <f t="shared" si="1"/>
        <v>✓ OK</v>
      </c>
    </row>
    <row r="11" spans="1:8" ht="21.75" customHeight="1" x14ac:dyDescent="0.25">
      <c r="A11" s="6">
        <v>6</v>
      </c>
      <c r="B11" s="8" t="s">
        <v>292</v>
      </c>
      <c r="C11" s="8" t="s">
        <v>293</v>
      </c>
      <c r="D11" s="8" t="s">
        <v>294</v>
      </c>
      <c r="E11" s="39" t="s">
        <v>295</v>
      </c>
      <c r="F11" s="40">
        <f t="shared" si="0"/>
        <v>18</v>
      </c>
      <c r="G11" s="6">
        <v>25</v>
      </c>
      <c r="H11" s="28" t="str">
        <f t="shared" si="1"/>
        <v>✓ OK</v>
      </c>
    </row>
    <row r="12" spans="1:8" ht="21.75" customHeight="1" x14ac:dyDescent="0.25">
      <c r="A12" s="3">
        <v>7</v>
      </c>
      <c r="B12" s="5" t="s">
        <v>296</v>
      </c>
      <c r="C12" s="5" t="s">
        <v>297</v>
      </c>
      <c r="D12" s="5" t="s">
        <v>298</v>
      </c>
      <c r="E12" s="37" t="s">
        <v>190</v>
      </c>
      <c r="F12" s="38">
        <f t="shared" si="0"/>
        <v>22</v>
      </c>
      <c r="G12" s="3">
        <v>25</v>
      </c>
      <c r="H12" s="19" t="str">
        <f t="shared" si="1"/>
        <v>✓ OK</v>
      </c>
    </row>
    <row r="13" spans="1:8" ht="21.75" customHeight="1" x14ac:dyDescent="0.25">
      <c r="A13" s="6">
        <v>8</v>
      </c>
      <c r="B13" s="8" t="s">
        <v>299</v>
      </c>
      <c r="C13" s="8" t="s">
        <v>300</v>
      </c>
      <c r="D13" s="8" t="s">
        <v>301</v>
      </c>
      <c r="E13" s="39" t="s">
        <v>190</v>
      </c>
      <c r="F13" s="40">
        <f t="shared" si="0"/>
        <v>18</v>
      </c>
      <c r="G13" s="6">
        <v>25</v>
      </c>
      <c r="H13" s="28" t="str">
        <f t="shared" si="1"/>
        <v>✓ OK</v>
      </c>
    </row>
    <row r="14" spans="1:8" ht="7.5" customHeight="1" x14ac:dyDescent="0.25"/>
    <row r="15" spans="1:8" ht="21.75" customHeight="1" x14ac:dyDescent="0.25">
      <c r="A15" s="96" t="s">
        <v>302</v>
      </c>
      <c r="B15" s="96"/>
      <c r="C15" s="96"/>
      <c r="D15" s="96"/>
      <c r="E15" s="96"/>
      <c r="F15" s="96"/>
      <c r="G15" s="96"/>
      <c r="H15" s="96"/>
    </row>
    <row r="16" spans="1:8" ht="27.75" customHeight="1" x14ac:dyDescent="0.25">
      <c r="A16" s="2" t="s">
        <v>85</v>
      </c>
      <c r="B16" s="2" t="s">
        <v>303</v>
      </c>
      <c r="C16" s="2" t="s">
        <v>198</v>
      </c>
      <c r="D16" s="2" t="s">
        <v>199</v>
      </c>
      <c r="E16" s="2" t="s">
        <v>96</v>
      </c>
    </row>
    <row r="17" spans="1:5" ht="19.5" customHeight="1" x14ac:dyDescent="0.25">
      <c r="A17" s="3">
        <v>1</v>
      </c>
      <c r="B17" s="5" t="s">
        <v>207</v>
      </c>
      <c r="C17" s="38">
        <f t="shared" ref="C17:C36" si="2">LEN(B17)</f>
        <v>18</v>
      </c>
      <c r="D17" s="3">
        <v>25</v>
      </c>
      <c r="E17" s="19" t="str">
        <f t="shared" ref="E17:E36" si="3">IF(B17="","—",IF(LEN(B17)&lt;=25,"✓ OK","✗ "&amp;(LEN(B17)-25)&amp;" over"))</f>
        <v>✓ OK</v>
      </c>
    </row>
    <row r="18" spans="1:5" ht="19.5" customHeight="1" x14ac:dyDescent="0.25">
      <c r="A18" s="6">
        <v>2</v>
      </c>
      <c r="B18" s="8" t="s">
        <v>217</v>
      </c>
      <c r="C18" s="40">
        <f t="shared" si="2"/>
        <v>20</v>
      </c>
      <c r="D18" s="6">
        <v>25</v>
      </c>
      <c r="E18" s="28" t="str">
        <f t="shared" si="3"/>
        <v>✓ OK</v>
      </c>
    </row>
    <row r="19" spans="1:5" ht="19.5" customHeight="1" x14ac:dyDescent="0.25">
      <c r="A19" s="3">
        <v>3</v>
      </c>
      <c r="B19" s="5" t="s">
        <v>304</v>
      </c>
      <c r="C19" s="38">
        <f t="shared" si="2"/>
        <v>20</v>
      </c>
      <c r="D19" s="3">
        <v>25</v>
      </c>
      <c r="E19" s="19" t="str">
        <f t="shared" si="3"/>
        <v>✓ OK</v>
      </c>
    </row>
    <row r="20" spans="1:5" ht="19.5" customHeight="1" x14ac:dyDescent="0.25">
      <c r="A20" s="6">
        <v>4</v>
      </c>
      <c r="B20" s="8" t="s">
        <v>305</v>
      </c>
      <c r="C20" s="40">
        <f t="shared" si="2"/>
        <v>16</v>
      </c>
      <c r="D20" s="6">
        <v>25</v>
      </c>
      <c r="E20" s="28" t="str">
        <f t="shared" si="3"/>
        <v>✓ OK</v>
      </c>
    </row>
    <row r="21" spans="1:5" ht="19.5" customHeight="1" x14ac:dyDescent="0.25">
      <c r="A21" s="3">
        <v>5</v>
      </c>
      <c r="B21" s="5" t="s">
        <v>306</v>
      </c>
      <c r="C21" s="38">
        <f t="shared" si="2"/>
        <v>17</v>
      </c>
      <c r="D21" s="3">
        <v>25</v>
      </c>
      <c r="E21" s="19" t="str">
        <f t="shared" si="3"/>
        <v>✓ OK</v>
      </c>
    </row>
    <row r="22" spans="1:5" ht="19.5" customHeight="1" x14ac:dyDescent="0.25">
      <c r="A22" s="6">
        <v>6</v>
      </c>
      <c r="B22" s="8" t="s">
        <v>307</v>
      </c>
      <c r="C22" s="40">
        <f t="shared" si="2"/>
        <v>14</v>
      </c>
      <c r="D22" s="6">
        <v>25</v>
      </c>
      <c r="E22" s="28" t="str">
        <f t="shared" si="3"/>
        <v>✓ OK</v>
      </c>
    </row>
    <row r="23" spans="1:5" ht="19.5" customHeight="1" x14ac:dyDescent="0.25">
      <c r="A23" s="3">
        <v>7</v>
      </c>
      <c r="B23" s="5" t="s">
        <v>308</v>
      </c>
      <c r="C23" s="38">
        <f t="shared" si="2"/>
        <v>17</v>
      </c>
      <c r="D23" s="3">
        <v>25</v>
      </c>
      <c r="E23" s="19" t="str">
        <f t="shared" si="3"/>
        <v>✓ OK</v>
      </c>
    </row>
    <row r="24" spans="1:5" ht="19.5" customHeight="1" x14ac:dyDescent="0.25">
      <c r="A24" s="6">
        <v>8</v>
      </c>
      <c r="B24" s="8" t="s">
        <v>309</v>
      </c>
      <c r="C24" s="40">
        <f t="shared" si="2"/>
        <v>21</v>
      </c>
      <c r="D24" s="6">
        <v>25</v>
      </c>
      <c r="E24" s="28" t="str">
        <f t="shared" si="3"/>
        <v>✓ OK</v>
      </c>
    </row>
    <row r="25" spans="1:5" ht="19.5" customHeight="1" x14ac:dyDescent="0.25">
      <c r="A25" s="3">
        <v>9</v>
      </c>
      <c r="B25" s="5" t="s">
        <v>310</v>
      </c>
      <c r="C25" s="38">
        <f t="shared" si="2"/>
        <v>23</v>
      </c>
      <c r="D25" s="3">
        <v>25</v>
      </c>
      <c r="E25" s="19" t="str">
        <f t="shared" si="3"/>
        <v>✓ OK</v>
      </c>
    </row>
    <row r="26" spans="1:5" ht="19.5" customHeight="1" x14ac:dyDescent="0.25">
      <c r="A26" s="6">
        <v>10</v>
      </c>
      <c r="B26" s="8" t="s">
        <v>311</v>
      </c>
      <c r="C26" s="40">
        <f t="shared" si="2"/>
        <v>21</v>
      </c>
      <c r="D26" s="6">
        <v>25</v>
      </c>
      <c r="E26" s="28" t="str">
        <f t="shared" si="3"/>
        <v>✓ OK</v>
      </c>
    </row>
    <row r="27" spans="1:5" ht="19.5" customHeight="1" x14ac:dyDescent="0.25">
      <c r="A27" s="3">
        <v>11</v>
      </c>
      <c r="B27" s="5" t="s">
        <v>312</v>
      </c>
      <c r="C27" s="38">
        <f t="shared" si="2"/>
        <v>14</v>
      </c>
      <c r="D27" s="3">
        <v>25</v>
      </c>
      <c r="E27" s="19" t="str">
        <f t="shared" si="3"/>
        <v>✓ OK</v>
      </c>
    </row>
    <row r="28" spans="1:5" ht="19.5" customHeight="1" x14ac:dyDescent="0.25">
      <c r="A28" s="6">
        <v>12</v>
      </c>
      <c r="B28" s="8" t="s">
        <v>791</v>
      </c>
      <c r="C28" s="40">
        <f t="shared" si="2"/>
        <v>12</v>
      </c>
      <c r="D28" s="6">
        <v>25</v>
      </c>
      <c r="E28" s="28" t="str">
        <f t="shared" si="3"/>
        <v>✓ OK</v>
      </c>
    </row>
    <row r="29" spans="1:5" ht="19.5" customHeight="1" x14ac:dyDescent="0.25">
      <c r="A29" s="3">
        <v>13</v>
      </c>
      <c r="B29" s="5" t="s">
        <v>313</v>
      </c>
      <c r="C29" s="38">
        <f t="shared" si="2"/>
        <v>13</v>
      </c>
      <c r="D29" s="3">
        <v>25</v>
      </c>
      <c r="E29" s="19" t="str">
        <f t="shared" si="3"/>
        <v>✓ OK</v>
      </c>
    </row>
    <row r="30" spans="1:5" ht="19.5" customHeight="1" x14ac:dyDescent="0.25">
      <c r="A30" s="6">
        <v>14</v>
      </c>
      <c r="B30" s="8" t="s">
        <v>314</v>
      </c>
      <c r="C30" s="40">
        <f t="shared" si="2"/>
        <v>21</v>
      </c>
      <c r="D30" s="6">
        <v>25</v>
      </c>
      <c r="E30" s="28" t="str">
        <f t="shared" si="3"/>
        <v>✓ OK</v>
      </c>
    </row>
    <row r="31" spans="1:5" ht="19.5" customHeight="1" x14ac:dyDescent="0.25">
      <c r="A31" s="3">
        <v>15</v>
      </c>
      <c r="B31" s="5" t="s">
        <v>315</v>
      </c>
      <c r="C31" s="38">
        <f t="shared" si="2"/>
        <v>12</v>
      </c>
      <c r="D31" s="3">
        <v>25</v>
      </c>
      <c r="E31" s="19" t="str">
        <f t="shared" si="3"/>
        <v>✓ OK</v>
      </c>
    </row>
    <row r="32" spans="1:5" ht="19.5" customHeight="1" x14ac:dyDescent="0.25">
      <c r="A32" s="6">
        <v>16</v>
      </c>
      <c r="B32" s="8" t="s">
        <v>316</v>
      </c>
      <c r="C32" s="40">
        <f t="shared" si="2"/>
        <v>17</v>
      </c>
      <c r="D32" s="6">
        <v>25</v>
      </c>
      <c r="E32" s="28" t="str">
        <f t="shared" si="3"/>
        <v>✓ OK</v>
      </c>
    </row>
    <row r="33" spans="1:8" ht="19.5" customHeight="1" x14ac:dyDescent="0.25">
      <c r="A33" s="3">
        <v>17</v>
      </c>
      <c r="B33" s="5" t="s">
        <v>317</v>
      </c>
      <c r="C33" s="38">
        <f t="shared" si="2"/>
        <v>16</v>
      </c>
      <c r="D33" s="3">
        <v>25</v>
      </c>
      <c r="E33" s="19" t="str">
        <f t="shared" si="3"/>
        <v>✓ OK</v>
      </c>
    </row>
    <row r="34" spans="1:8" ht="19.5" customHeight="1" x14ac:dyDescent="0.25">
      <c r="A34" s="6">
        <v>18</v>
      </c>
      <c r="B34" s="8" t="s">
        <v>318</v>
      </c>
      <c r="C34" s="40">
        <f t="shared" si="2"/>
        <v>15</v>
      </c>
      <c r="D34" s="6">
        <v>25</v>
      </c>
      <c r="E34" s="28" t="str">
        <f t="shared" si="3"/>
        <v>✓ OK</v>
      </c>
    </row>
    <row r="35" spans="1:8" ht="19.5" customHeight="1" x14ac:dyDescent="0.25">
      <c r="A35" s="3">
        <v>19</v>
      </c>
      <c r="B35" s="5" t="s">
        <v>319</v>
      </c>
      <c r="C35" s="38">
        <f t="shared" si="2"/>
        <v>22</v>
      </c>
      <c r="D35" s="3">
        <v>25</v>
      </c>
      <c r="E35" s="19" t="str">
        <f t="shared" si="3"/>
        <v>✓ OK</v>
      </c>
    </row>
    <row r="36" spans="1:8" ht="19.5" customHeight="1" x14ac:dyDescent="0.25">
      <c r="A36" s="6">
        <v>20</v>
      </c>
      <c r="B36" s="8" t="s">
        <v>320</v>
      </c>
      <c r="C36" s="40">
        <f t="shared" si="2"/>
        <v>18</v>
      </c>
      <c r="D36" s="6">
        <v>25</v>
      </c>
      <c r="E36" s="28" t="str">
        <f t="shared" si="3"/>
        <v>✓ OK</v>
      </c>
    </row>
    <row r="37" spans="1:8" ht="7.5" customHeight="1" x14ac:dyDescent="0.25"/>
    <row r="38" spans="1:8" ht="21.75" customHeight="1" x14ac:dyDescent="0.25">
      <c r="A38" s="96" t="s">
        <v>321</v>
      </c>
      <c r="B38" s="96"/>
      <c r="C38" s="96"/>
      <c r="D38" s="96"/>
      <c r="E38" s="96"/>
      <c r="F38" s="96"/>
      <c r="G38" s="96"/>
      <c r="H38" s="96"/>
    </row>
    <row r="39" spans="1:8" ht="27.75" customHeight="1" x14ac:dyDescent="0.25">
      <c r="A39" s="2" t="s">
        <v>322</v>
      </c>
      <c r="B39" s="2" t="s">
        <v>323</v>
      </c>
      <c r="C39" s="2" t="s">
        <v>324</v>
      </c>
      <c r="D39" s="2" t="s">
        <v>325</v>
      </c>
      <c r="E39" s="2" t="s">
        <v>326</v>
      </c>
      <c r="F39" s="2" t="s">
        <v>327</v>
      </c>
      <c r="G39" s="2" t="s">
        <v>328</v>
      </c>
      <c r="H39" s="2" t="s">
        <v>329</v>
      </c>
    </row>
    <row r="40" spans="1:8" ht="21.75" customHeight="1" x14ac:dyDescent="0.25">
      <c r="A40" s="4" t="s">
        <v>330</v>
      </c>
      <c r="B40" s="5" t="s">
        <v>331</v>
      </c>
      <c r="C40" s="5" t="s">
        <v>332</v>
      </c>
      <c r="D40" s="5" t="s">
        <v>333</v>
      </c>
      <c r="E40" s="5" t="s">
        <v>307</v>
      </c>
      <c r="F40" s="5" t="s">
        <v>334</v>
      </c>
      <c r="G40" s="5"/>
      <c r="H40" s="5"/>
    </row>
    <row r="41" spans="1:8" ht="21.75" customHeight="1" x14ac:dyDescent="0.25">
      <c r="A41" s="7" t="s">
        <v>335</v>
      </c>
      <c r="B41" s="8" t="s">
        <v>336</v>
      </c>
      <c r="C41" s="8" t="s">
        <v>313</v>
      </c>
      <c r="D41" s="8" t="s">
        <v>337</v>
      </c>
      <c r="E41" s="8" t="s">
        <v>338</v>
      </c>
      <c r="F41" s="8" t="s">
        <v>339</v>
      </c>
      <c r="G41" s="8" t="s">
        <v>312</v>
      </c>
      <c r="H41" s="8" t="s">
        <v>340</v>
      </c>
    </row>
    <row r="42" spans="1:8" ht="21.75" customHeight="1" x14ac:dyDescent="0.25">
      <c r="A42" s="4" t="s">
        <v>341</v>
      </c>
      <c r="B42" s="5" t="s">
        <v>342</v>
      </c>
      <c r="C42" s="5" t="s">
        <v>343</v>
      </c>
      <c r="D42" s="5" t="s">
        <v>344</v>
      </c>
      <c r="E42" s="5" t="s">
        <v>345</v>
      </c>
      <c r="F42" s="5" t="s">
        <v>346</v>
      </c>
      <c r="G42" s="5"/>
      <c r="H42" s="5"/>
    </row>
    <row r="43" spans="1:8" ht="7.5" customHeight="1" x14ac:dyDescent="0.25"/>
    <row r="44" spans="1:8" ht="21.75" customHeight="1" x14ac:dyDescent="0.25">
      <c r="A44" s="96" t="s">
        <v>347</v>
      </c>
      <c r="B44" s="96"/>
      <c r="C44" s="96"/>
      <c r="D44" s="96"/>
      <c r="E44" s="96"/>
      <c r="F44" s="96"/>
      <c r="G44" s="96"/>
      <c r="H44" s="96"/>
    </row>
    <row r="45" spans="1:8" ht="36" customHeight="1" x14ac:dyDescent="0.25">
      <c r="A45" s="2" t="s">
        <v>85</v>
      </c>
      <c r="B45" s="2" t="s">
        <v>348</v>
      </c>
      <c r="C45" s="2" t="s">
        <v>90</v>
      </c>
      <c r="D45" s="2" t="s">
        <v>349</v>
      </c>
      <c r="E45" s="2" t="s">
        <v>350</v>
      </c>
      <c r="F45" s="2" t="s">
        <v>96</v>
      </c>
    </row>
    <row r="46" spans="1:8" ht="21.75" customHeight="1" x14ac:dyDescent="0.25">
      <c r="A46" s="3">
        <v>1</v>
      </c>
      <c r="B46" s="5" t="s">
        <v>351</v>
      </c>
      <c r="C46" s="5" t="s">
        <v>352</v>
      </c>
      <c r="D46" s="5" t="s">
        <v>353</v>
      </c>
      <c r="E46" s="5" t="s">
        <v>354</v>
      </c>
      <c r="F46" s="5" t="s">
        <v>355</v>
      </c>
      <c r="G46" s="5" t="s">
        <v>356</v>
      </c>
    </row>
    <row r="47" spans="1:8" ht="21.75" customHeight="1" x14ac:dyDescent="0.25">
      <c r="A47" s="6">
        <v>2</v>
      </c>
      <c r="B47" s="8" t="s">
        <v>357</v>
      </c>
      <c r="C47" s="8" t="s">
        <v>358</v>
      </c>
      <c r="D47" s="8" t="s">
        <v>359</v>
      </c>
      <c r="E47" s="8" t="s">
        <v>354</v>
      </c>
      <c r="F47" s="8" t="s">
        <v>355</v>
      </c>
      <c r="G47" s="8" t="s">
        <v>356</v>
      </c>
    </row>
    <row r="48" spans="1:8" ht="21.75" customHeight="1" x14ac:dyDescent="0.25">
      <c r="A48" s="3">
        <v>3</v>
      </c>
      <c r="B48" s="5" t="s">
        <v>360</v>
      </c>
      <c r="C48" s="5" t="s">
        <v>361</v>
      </c>
      <c r="D48" s="5" t="s">
        <v>362</v>
      </c>
      <c r="E48" s="5" t="s">
        <v>354</v>
      </c>
      <c r="F48" s="5" t="s">
        <v>355</v>
      </c>
      <c r="G48" s="5" t="s">
        <v>356</v>
      </c>
    </row>
    <row r="49" spans="1:8" ht="21.75" customHeight="1" x14ac:dyDescent="0.25">
      <c r="A49" s="6">
        <v>4</v>
      </c>
      <c r="B49" s="8" t="s">
        <v>363</v>
      </c>
      <c r="C49" s="8" t="s">
        <v>364</v>
      </c>
      <c r="D49" s="8" t="s">
        <v>365</v>
      </c>
      <c r="E49" s="8" t="s">
        <v>354</v>
      </c>
      <c r="F49" s="8" t="s">
        <v>355</v>
      </c>
      <c r="G49" s="8" t="s">
        <v>356</v>
      </c>
    </row>
    <row r="50" spans="1:8" ht="21.75" customHeight="1" x14ac:dyDescent="0.25">
      <c r="A50" s="3">
        <v>5</v>
      </c>
      <c r="B50" s="5" t="s">
        <v>366</v>
      </c>
      <c r="C50" s="5" t="s">
        <v>367</v>
      </c>
      <c r="D50" s="5" t="s">
        <v>353</v>
      </c>
      <c r="E50" s="5" t="s">
        <v>368</v>
      </c>
      <c r="F50" s="5" t="s">
        <v>355</v>
      </c>
      <c r="G50" s="5" t="s">
        <v>356</v>
      </c>
    </row>
    <row r="51" spans="1:8" ht="7.5" customHeight="1" x14ac:dyDescent="0.25"/>
    <row r="52" spans="1:8" ht="21.75" customHeight="1" x14ac:dyDescent="0.25">
      <c r="A52" s="96" t="s">
        <v>369</v>
      </c>
      <c r="B52" s="96"/>
      <c r="C52" s="96"/>
      <c r="D52" s="96"/>
      <c r="E52" s="96"/>
      <c r="F52" s="96"/>
      <c r="G52" s="96"/>
      <c r="H52" s="96"/>
    </row>
    <row r="53" spans="1:8" ht="27.75" customHeight="1" x14ac:dyDescent="0.25">
      <c r="A53" s="2" t="s">
        <v>370</v>
      </c>
      <c r="B53" s="2" t="s">
        <v>371</v>
      </c>
      <c r="C53" s="2" t="s">
        <v>372</v>
      </c>
      <c r="D53" s="2" t="s">
        <v>373</v>
      </c>
      <c r="E53" s="2" t="s">
        <v>198</v>
      </c>
      <c r="F53" s="2" t="s">
        <v>96</v>
      </c>
    </row>
    <row r="54" spans="1:8" ht="21.75" customHeight="1" x14ac:dyDescent="0.25">
      <c r="A54" s="5" t="s">
        <v>374</v>
      </c>
      <c r="B54" s="5" t="s">
        <v>375</v>
      </c>
      <c r="C54" s="17"/>
      <c r="D54" s="17"/>
      <c r="E54" s="38">
        <f>LEN(B54)</f>
        <v>22</v>
      </c>
      <c r="F54" s="19" t="str">
        <f>IF(B54="","—",IF(LEN(B54)&lt;=20,"✓ OK","✗ "&amp;(LEN(B54)-20)&amp;" over"))</f>
        <v>✗ 2 over</v>
      </c>
    </row>
    <row r="55" spans="1:8" ht="21.75" customHeight="1" x14ac:dyDescent="0.25">
      <c r="A55" s="8" t="s">
        <v>376</v>
      </c>
      <c r="B55" s="8" t="s">
        <v>377</v>
      </c>
      <c r="C55" s="26" t="s">
        <v>378</v>
      </c>
      <c r="D55" s="26" t="s">
        <v>379</v>
      </c>
      <c r="E55" s="40">
        <f>LEN(B55)</f>
        <v>18</v>
      </c>
      <c r="F55" s="28" t="str">
        <f>IF(B55="","—",IF(LEN(B55)&lt;=20,"✓ OK","✗ "&amp;(LEN(B55)-20)&amp;" over"))</f>
        <v>✓ OK</v>
      </c>
    </row>
    <row r="56" spans="1:8" ht="21.75" customHeight="1" x14ac:dyDescent="0.25">
      <c r="A56" s="5" t="s">
        <v>380</v>
      </c>
      <c r="B56" s="5" t="s">
        <v>224</v>
      </c>
      <c r="C56" s="17" t="s">
        <v>381</v>
      </c>
      <c r="D56" s="17" t="s">
        <v>382</v>
      </c>
      <c r="E56" s="38">
        <f>LEN(B56)</f>
        <v>21</v>
      </c>
      <c r="F56" s="19" t="str">
        <f>IF(B56="","—",IF(LEN(B56)&lt;=20,"✓ OK","✗ "&amp;(LEN(B56)-20)&amp;" over"))</f>
        <v>✗ 1 over</v>
      </c>
    </row>
  </sheetData>
  <mergeCells count="7">
    <mergeCell ref="A44:H44"/>
    <mergeCell ref="A52:H52"/>
    <mergeCell ref="A1:H1"/>
    <mergeCell ref="A2:H2"/>
    <mergeCell ref="A4:H4"/>
    <mergeCell ref="A15:H15"/>
    <mergeCell ref="A38:H38"/>
  </mergeCells>
  <conditionalFormatting sqref="F6:F13">
    <cfRule type="cellIs" dxfId="84" priority="2" operator="greaterThan">
      <formula>25</formula>
    </cfRule>
    <cfRule type="cellIs" dxfId="83" priority="3" operator="between">
      <formula>22</formula>
      <formula>25</formula>
    </cfRule>
    <cfRule type="cellIs" dxfId="82" priority="4" operator="lessThan">
      <formula>22</formula>
    </cfRule>
  </conditionalFormatting>
  <conditionalFormatting sqref="H6:H13">
    <cfRule type="containsText" dxfId="81" priority="5" operator="containsText" text="OVER">
      <formula>NOT(ISERROR(SEARCH("OVER",H6)))</formula>
    </cfRule>
    <cfRule type="containsText" dxfId="80" priority="6" operator="containsText" text="OK">
      <formula>NOT(ISERROR(SEARCH("OK",H6)))</formula>
    </cfRule>
  </conditionalFormatting>
  <conditionalFormatting sqref="C17:C36">
    <cfRule type="cellIs" dxfId="79" priority="7" operator="greaterThan">
      <formula>25</formula>
    </cfRule>
    <cfRule type="cellIs" dxfId="78" priority="8" operator="between">
      <formula>22</formula>
      <formula>25</formula>
    </cfRule>
    <cfRule type="cellIs" dxfId="77" priority="9" operator="lessThan">
      <formula>22</formula>
    </cfRule>
  </conditionalFormatting>
  <conditionalFormatting sqref="E17:E36">
    <cfRule type="containsText" dxfId="76" priority="10" operator="containsText" text="OVER">
      <formula>NOT(ISERROR(SEARCH("OVER",E17)))</formula>
    </cfRule>
    <cfRule type="containsText" dxfId="75" priority="11" operator="containsText" text="OK">
      <formula>NOT(ISERROR(SEARCH("OK",E17)))</formula>
    </cfRule>
  </conditionalFormatting>
  <conditionalFormatting sqref="E54:E56">
    <cfRule type="cellIs" dxfId="74" priority="12" operator="greaterThan">
      <formula>20</formula>
    </cfRule>
    <cfRule type="cellIs" dxfId="73" priority="13" operator="between">
      <formula>17</formula>
      <formula>20</formula>
    </cfRule>
    <cfRule type="cellIs" dxfId="72" priority="14" operator="lessThan">
      <formula>17</formula>
    </cfRule>
  </conditionalFormatting>
  <conditionalFormatting sqref="F54:F56">
    <cfRule type="containsText" dxfId="71" priority="15" operator="containsText" text="OVER">
      <formula>NOT(ISERROR(SEARCH("OVER",F54)))</formula>
    </cfRule>
    <cfRule type="containsText" dxfId="70" priority="16" operator="containsText" text="OK">
      <formula>NOT(ISERROR(SEARCH("OK",F54)))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D1457"/>
  </sheetPr>
  <dimension ref="A1:K36"/>
  <sheetViews>
    <sheetView showGridLines="0" topLeftCell="A2" zoomScaleNormal="100" workbookViewId="0">
      <selection activeCell="H15" sqref="H15"/>
    </sheetView>
  </sheetViews>
  <sheetFormatPr defaultColWidth="8.7109375" defaultRowHeight="15" x14ac:dyDescent="0.25"/>
  <cols>
    <col min="1" max="1" width="4" style="1" customWidth="1"/>
    <col min="2" max="2" width="10" style="1" customWidth="1"/>
    <col min="3" max="3" width="52" style="1" customWidth="1"/>
    <col min="4" max="4" width="8" style="1" customWidth="1"/>
    <col min="5" max="5" width="7" style="1" customWidth="1"/>
    <col min="6" max="6" width="16" style="1" customWidth="1"/>
    <col min="7" max="7" width="3" style="1" customWidth="1"/>
    <col min="8" max="8" width="52" style="1" customWidth="1"/>
    <col min="9" max="9" width="8" style="1" customWidth="1"/>
    <col min="10" max="10" width="7" style="1" customWidth="1"/>
    <col min="11" max="11" width="16" style="1" customWidth="1"/>
  </cols>
  <sheetData>
    <row r="1" spans="1:11" ht="33.75" customHeight="1" x14ac:dyDescent="0.25">
      <c r="A1" s="102" t="s">
        <v>383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1" ht="18" customHeight="1" x14ac:dyDescent="0.25">
      <c r="A2" s="101" t="s">
        <v>384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</row>
    <row r="3" spans="1:11" ht="7.5" customHeight="1" x14ac:dyDescent="0.25"/>
    <row r="4" spans="1:11" ht="21.75" customHeight="1" x14ac:dyDescent="0.25">
      <c r="A4" s="96" t="s">
        <v>385</v>
      </c>
      <c r="B4" s="96"/>
      <c r="C4" s="96"/>
      <c r="D4" s="96"/>
      <c r="E4" s="96"/>
      <c r="F4" s="96"/>
      <c r="G4" s="96"/>
      <c r="H4" s="96"/>
      <c r="I4" s="96"/>
      <c r="J4" s="96"/>
      <c r="K4" s="96"/>
    </row>
    <row r="5" spans="1:11" ht="36" customHeight="1" x14ac:dyDescent="0.25">
      <c r="A5" s="2" t="s">
        <v>85</v>
      </c>
      <c r="B5" s="2" t="s">
        <v>196</v>
      </c>
      <c r="C5" s="2" t="s">
        <v>386</v>
      </c>
      <c r="D5" s="2" t="s">
        <v>198</v>
      </c>
      <c r="E5" s="2" t="s">
        <v>199</v>
      </c>
      <c r="F5" s="2" t="s">
        <v>200</v>
      </c>
      <c r="H5" s="41" t="s">
        <v>387</v>
      </c>
      <c r="I5" s="41" t="s">
        <v>198</v>
      </c>
      <c r="J5" s="41" t="s">
        <v>199</v>
      </c>
      <c r="K5" s="41" t="s">
        <v>200</v>
      </c>
    </row>
    <row r="6" spans="1:11" ht="21.75" customHeight="1" x14ac:dyDescent="0.25">
      <c r="A6" s="96" t="s">
        <v>388</v>
      </c>
      <c r="B6" s="96"/>
      <c r="C6" s="96"/>
      <c r="D6" s="96"/>
      <c r="E6" s="96"/>
      <c r="F6" s="96"/>
      <c r="H6" s="126" t="s">
        <v>389</v>
      </c>
      <c r="I6" s="126"/>
      <c r="J6" s="126"/>
      <c r="K6" s="126"/>
    </row>
    <row r="7" spans="1:11" ht="24" customHeight="1" x14ac:dyDescent="0.25">
      <c r="A7" s="3">
        <v>1</v>
      </c>
      <c r="B7" s="3" t="s">
        <v>202</v>
      </c>
      <c r="C7" s="5" t="s">
        <v>207</v>
      </c>
      <c r="D7" s="38">
        <f t="shared" ref="D7:D16" si="0">LEN(C7)</f>
        <v>18</v>
      </c>
      <c r="E7" s="3">
        <v>30</v>
      </c>
      <c r="F7" s="19" t="str">
        <f t="shared" ref="F7:F16" si="1">IF(C7="","—",IF(LEN(C7)&lt;=30,"✓ OK","✗ "&amp;(LEN(C7)-30)&amp;" over"))</f>
        <v>✓ OK</v>
      </c>
      <c r="H7" s="42" t="s">
        <v>207</v>
      </c>
      <c r="I7" s="43">
        <f t="shared" ref="I7:I16" si="2">LEN(H7)</f>
        <v>18</v>
      </c>
      <c r="J7" s="44">
        <v>30</v>
      </c>
      <c r="K7" s="45" t="str">
        <f t="shared" ref="K7:K16" si="3">IF(H7="","—",IF(LEN(H7)&lt;=30,"✓ OK","✗ "&amp;(LEN(H7)-30)&amp;" over"))</f>
        <v>✓ OK</v>
      </c>
    </row>
    <row r="8" spans="1:11" ht="24" customHeight="1" x14ac:dyDescent="0.25">
      <c r="A8" s="6">
        <v>2</v>
      </c>
      <c r="B8" s="6" t="s">
        <v>202</v>
      </c>
      <c r="C8" s="8" t="s">
        <v>390</v>
      </c>
      <c r="D8" s="40">
        <f t="shared" si="0"/>
        <v>24</v>
      </c>
      <c r="E8" s="6">
        <v>30</v>
      </c>
      <c r="F8" s="28" t="str">
        <f t="shared" si="1"/>
        <v>✓ OK</v>
      </c>
      <c r="H8" s="42" t="s">
        <v>390</v>
      </c>
      <c r="I8" s="43">
        <f t="shared" si="2"/>
        <v>24</v>
      </c>
      <c r="J8" s="44">
        <v>30</v>
      </c>
      <c r="K8" s="45" t="str">
        <f t="shared" si="3"/>
        <v>✓ OK</v>
      </c>
    </row>
    <row r="9" spans="1:11" ht="24" customHeight="1" x14ac:dyDescent="0.25">
      <c r="A9" s="3">
        <v>3</v>
      </c>
      <c r="B9" s="3" t="s">
        <v>202</v>
      </c>
      <c r="C9" s="5" t="s">
        <v>391</v>
      </c>
      <c r="D9" s="38">
        <f t="shared" si="0"/>
        <v>24</v>
      </c>
      <c r="E9" s="3">
        <v>30</v>
      </c>
      <c r="F9" s="19" t="str">
        <f t="shared" si="1"/>
        <v>✓ OK</v>
      </c>
      <c r="H9" s="42" t="s">
        <v>391</v>
      </c>
      <c r="I9" s="43">
        <f t="shared" si="2"/>
        <v>24</v>
      </c>
      <c r="J9" s="44">
        <v>30</v>
      </c>
      <c r="K9" s="45" t="str">
        <f t="shared" si="3"/>
        <v>✓ OK</v>
      </c>
    </row>
    <row r="10" spans="1:11" ht="24" customHeight="1" x14ac:dyDescent="0.25">
      <c r="A10" s="6">
        <v>4</v>
      </c>
      <c r="B10" s="6" t="s">
        <v>202</v>
      </c>
      <c r="C10" s="8" t="s">
        <v>392</v>
      </c>
      <c r="D10" s="40">
        <f t="shared" si="0"/>
        <v>26</v>
      </c>
      <c r="E10" s="6">
        <v>30</v>
      </c>
      <c r="F10" s="28" t="str">
        <f t="shared" si="1"/>
        <v>✓ OK</v>
      </c>
      <c r="H10" s="42" t="s">
        <v>392</v>
      </c>
      <c r="I10" s="43">
        <f t="shared" si="2"/>
        <v>26</v>
      </c>
      <c r="J10" s="44">
        <v>30</v>
      </c>
      <c r="K10" s="45" t="str">
        <f t="shared" si="3"/>
        <v>✓ OK</v>
      </c>
    </row>
    <row r="11" spans="1:11" ht="24" customHeight="1" x14ac:dyDescent="0.25">
      <c r="A11" s="3">
        <v>5</v>
      </c>
      <c r="B11" s="3" t="s">
        <v>202</v>
      </c>
      <c r="C11" s="5" t="s">
        <v>393</v>
      </c>
      <c r="D11" s="38">
        <f t="shared" si="0"/>
        <v>26</v>
      </c>
      <c r="E11" s="3">
        <v>30</v>
      </c>
      <c r="F11" s="19" t="str">
        <f t="shared" si="1"/>
        <v>✓ OK</v>
      </c>
      <c r="H11" s="42" t="s">
        <v>393</v>
      </c>
      <c r="I11" s="43">
        <f t="shared" si="2"/>
        <v>26</v>
      </c>
      <c r="J11" s="44">
        <v>30</v>
      </c>
      <c r="K11" s="45" t="str">
        <f t="shared" si="3"/>
        <v>✓ OK</v>
      </c>
    </row>
    <row r="12" spans="1:11" ht="24" customHeight="1" x14ac:dyDescent="0.25">
      <c r="A12" s="6">
        <v>6</v>
      </c>
      <c r="B12" s="6" t="s">
        <v>202</v>
      </c>
      <c r="C12" s="8" t="s">
        <v>218</v>
      </c>
      <c r="D12" s="40">
        <f t="shared" si="0"/>
        <v>25</v>
      </c>
      <c r="E12" s="6">
        <v>30</v>
      </c>
      <c r="F12" s="28" t="str">
        <f t="shared" si="1"/>
        <v>✓ OK</v>
      </c>
      <c r="H12" s="42" t="s">
        <v>218</v>
      </c>
      <c r="I12" s="43">
        <f t="shared" si="2"/>
        <v>25</v>
      </c>
      <c r="J12" s="44">
        <v>30</v>
      </c>
      <c r="K12" s="45" t="str">
        <f t="shared" si="3"/>
        <v>✓ OK</v>
      </c>
    </row>
    <row r="13" spans="1:11" ht="24" customHeight="1" x14ac:dyDescent="0.25">
      <c r="A13" s="3">
        <v>7</v>
      </c>
      <c r="B13" s="3" t="s">
        <v>202</v>
      </c>
      <c r="C13" s="5" t="s">
        <v>217</v>
      </c>
      <c r="D13" s="38">
        <f t="shared" si="0"/>
        <v>20</v>
      </c>
      <c r="E13" s="3">
        <v>30</v>
      </c>
      <c r="F13" s="19" t="str">
        <f t="shared" si="1"/>
        <v>✓ OK</v>
      </c>
      <c r="H13" s="42" t="s">
        <v>217</v>
      </c>
      <c r="I13" s="43">
        <f t="shared" si="2"/>
        <v>20</v>
      </c>
      <c r="J13" s="44">
        <v>30</v>
      </c>
      <c r="K13" s="45" t="str">
        <f t="shared" si="3"/>
        <v>✓ OK</v>
      </c>
    </row>
    <row r="14" spans="1:11" ht="24" customHeight="1" x14ac:dyDescent="0.25">
      <c r="A14" s="6">
        <v>8</v>
      </c>
      <c r="B14" s="6" t="s">
        <v>202</v>
      </c>
      <c r="C14" s="8" t="s">
        <v>790</v>
      </c>
      <c r="D14" s="40">
        <f t="shared" si="0"/>
        <v>22</v>
      </c>
      <c r="E14" s="6">
        <v>30</v>
      </c>
      <c r="F14" s="28" t="str">
        <f t="shared" si="1"/>
        <v>✓ OK</v>
      </c>
      <c r="H14" s="42" t="s">
        <v>790</v>
      </c>
      <c r="I14" s="43">
        <f t="shared" si="2"/>
        <v>22</v>
      </c>
      <c r="J14" s="44">
        <v>30</v>
      </c>
      <c r="K14" s="45" t="str">
        <f t="shared" si="3"/>
        <v>✓ OK</v>
      </c>
    </row>
    <row r="15" spans="1:11" ht="24" customHeight="1" x14ac:dyDescent="0.25">
      <c r="A15" s="3">
        <v>9</v>
      </c>
      <c r="B15" s="3" t="s">
        <v>202</v>
      </c>
      <c r="C15" s="5" t="s">
        <v>394</v>
      </c>
      <c r="D15" s="38">
        <f t="shared" si="0"/>
        <v>18</v>
      </c>
      <c r="E15" s="3">
        <v>30</v>
      </c>
      <c r="F15" s="19" t="str">
        <f t="shared" si="1"/>
        <v>✓ OK</v>
      </c>
      <c r="H15" s="42" t="s">
        <v>394</v>
      </c>
      <c r="I15" s="43">
        <f t="shared" si="2"/>
        <v>18</v>
      </c>
      <c r="J15" s="44">
        <v>30</v>
      </c>
      <c r="K15" s="45" t="str">
        <f t="shared" si="3"/>
        <v>✓ OK</v>
      </c>
    </row>
    <row r="16" spans="1:11" ht="24" customHeight="1" x14ac:dyDescent="0.25">
      <c r="A16" s="6">
        <v>10</v>
      </c>
      <c r="B16" s="6" t="s">
        <v>202</v>
      </c>
      <c r="C16" s="8" t="s">
        <v>395</v>
      </c>
      <c r="D16" s="40">
        <f t="shared" si="0"/>
        <v>25</v>
      </c>
      <c r="E16" s="6">
        <v>30</v>
      </c>
      <c r="F16" s="28" t="str">
        <f t="shared" si="1"/>
        <v>✓ OK</v>
      </c>
      <c r="H16" s="42" t="s">
        <v>395</v>
      </c>
      <c r="I16" s="43">
        <f t="shared" si="2"/>
        <v>25</v>
      </c>
      <c r="J16" s="44">
        <v>30</v>
      </c>
      <c r="K16" s="45" t="str">
        <f t="shared" si="3"/>
        <v>✓ OK</v>
      </c>
    </row>
    <row r="17" spans="1:11" ht="7.5" customHeight="1" x14ac:dyDescent="0.25"/>
    <row r="18" spans="1:11" ht="21.75" customHeight="1" x14ac:dyDescent="0.25">
      <c r="A18" s="96" t="s">
        <v>396</v>
      </c>
      <c r="B18" s="96"/>
      <c r="C18" s="96"/>
      <c r="D18" s="96"/>
      <c r="E18" s="96"/>
      <c r="F18" s="96"/>
      <c r="H18" s="126" t="s">
        <v>397</v>
      </c>
      <c r="I18" s="126"/>
      <c r="J18" s="126"/>
      <c r="K18" s="126"/>
    </row>
    <row r="19" spans="1:11" ht="36" customHeight="1" x14ac:dyDescent="0.25">
      <c r="A19" s="3">
        <v>1</v>
      </c>
      <c r="B19" s="3" t="s">
        <v>202</v>
      </c>
      <c r="C19" s="5" t="s">
        <v>398</v>
      </c>
      <c r="D19" s="38">
        <f>LEN(C19)</f>
        <v>59</v>
      </c>
      <c r="E19" s="3">
        <v>90</v>
      </c>
      <c r="F19" s="19" t="str">
        <f>IF(C19="","—",IF(LEN(C19)&lt;=90,"✓ OK","✗ "&amp;(LEN(C19)-90)&amp;" over"))</f>
        <v>✓ OK</v>
      </c>
      <c r="H19" s="42" t="s">
        <v>398</v>
      </c>
      <c r="I19" s="43">
        <f>LEN(H19)</f>
        <v>59</v>
      </c>
      <c r="J19" s="44">
        <v>90</v>
      </c>
      <c r="K19" s="45" t="str">
        <f>IF(H19="","—",IF(LEN(H19)&lt;=90,"✓ OK","✗ "&amp;(LEN(H19)-90)&amp;" over"))</f>
        <v>✓ OK</v>
      </c>
    </row>
    <row r="20" spans="1:11" ht="36" customHeight="1" x14ac:dyDescent="0.25">
      <c r="A20" s="6">
        <v>2</v>
      </c>
      <c r="B20" s="6" t="s">
        <v>202</v>
      </c>
      <c r="C20" s="8" t="s">
        <v>399</v>
      </c>
      <c r="D20" s="40">
        <f>LEN(C20)</f>
        <v>63</v>
      </c>
      <c r="E20" s="6">
        <v>90</v>
      </c>
      <c r="F20" s="28" t="str">
        <f>IF(C20="","—",IF(LEN(C20)&lt;=90,"✓ OK","✗ "&amp;(LEN(C20)-90)&amp;" over"))</f>
        <v>✓ OK</v>
      </c>
      <c r="H20" s="42" t="s">
        <v>399</v>
      </c>
      <c r="I20" s="43">
        <f>LEN(H20)</f>
        <v>63</v>
      </c>
      <c r="J20" s="44">
        <v>90</v>
      </c>
      <c r="K20" s="45" t="str">
        <f>IF(H20="","—",IF(LEN(H20)&lt;=90,"✓ OK","✗ "&amp;(LEN(H20)-90)&amp;" over"))</f>
        <v>✓ OK</v>
      </c>
    </row>
    <row r="21" spans="1:11" ht="36" customHeight="1" x14ac:dyDescent="0.25">
      <c r="A21" s="3">
        <v>3</v>
      </c>
      <c r="B21" s="3" t="s">
        <v>202</v>
      </c>
      <c r="C21" s="5" t="s">
        <v>400</v>
      </c>
      <c r="D21" s="38">
        <f>LEN(C21)</f>
        <v>64</v>
      </c>
      <c r="E21" s="3">
        <v>90</v>
      </c>
      <c r="F21" s="19" t="str">
        <f>IF(C21="","—",IF(LEN(C21)&lt;=90,"✓ OK","✗ "&amp;(LEN(C21)-90)&amp;" over"))</f>
        <v>✓ OK</v>
      </c>
      <c r="H21" s="42" t="s">
        <v>400</v>
      </c>
      <c r="I21" s="43">
        <f>LEN(H21)</f>
        <v>64</v>
      </c>
      <c r="J21" s="44">
        <v>90</v>
      </c>
      <c r="K21" s="45" t="str">
        <f>IF(H21="","—",IF(LEN(H21)&lt;=90,"✓ OK","✗ "&amp;(LEN(H21)-90)&amp;" over"))</f>
        <v>✓ OK</v>
      </c>
    </row>
    <row r="22" spans="1:11" ht="36" customHeight="1" x14ac:dyDescent="0.25">
      <c r="A22" s="6">
        <v>4</v>
      </c>
      <c r="B22" s="6" t="s">
        <v>202</v>
      </c>
      <c r="C22" s="8" t="s">
        <v>401</v>
      </c>
      <c r="D22" s="40">
        <f>LEN(C22)</f>
        <v>61</v>
      </c>
      <c r="E22" s="6">
        <v>90</v>
      </c>
      <c r="F22" s="28" t="str">
        <f>IF(C22="","—",IF(LEN(C22)&lt;=90,"✓ OK","✗ "&amp;(LEN(C22)-90)&amp;" over"))</f>
        <v>✓ OK</v>
      </c>
      <c r="H22" s="42" t="s">
        <v>401</v>
      </c>
      <c r="I22" s="43">
        <f>LEN(H22)</f>
        <v>61</v>
      </c>
      <c r="J22" s="44">
        <v>90</v>
      </c>
      <c r="K22" s="45" t="str">
        <f>IF(H22="","—",IF(LEN(H22)&lt;=90,"✓ OK","✗ "&amp;(LEN(H22)-90)&amp;" over"))</f>
        <v>✓ OK</v>
      </c>
    </row>
    <row r="23" spans="1:11" ht="36" customHeight="1" x14ac:dyDescent="0.25">
      <c r="A23" s="3">
        <v>5</v>
      </c>
      <c r="B23" s="3" t="s">
        <v>202</v>
      </c>
      <c r="C23" s="5" t="s">
        <v>402</v>
      </c>
      <c r="D23" s="38">
        <f>LEN(C23)</f>
        <v>65</v>
      </c>
      <c r="E23" s="3">
        <v>90</v>
      </c>
      <c r="F23" s="19" t="str">
        <f>IF(C23="","—",IF(LEN(C23)&lt;=90,"✓ OK","✗ "&amp;(LEN(C23)-90)&amp;" over"))</f>
        <v>✓ OK</v>
      </c>
      <c r="H23" s="42" t="s">
        <v>402</v>
      </c>
      <c r="I23" s="43">
        <f>LEN(H23)</f>
        <v>65</v>
      </c>
      <c r="J23" s="44">
        <v>90</v>
      </c>
      <c r="K23" s="45" t="str">
        <f>IF(H23="","—",IF(LEN(H23)&lt;=90,"✓ OK","✗ "&amp;(LEN(H23)-90)&amp;" over"))</f>
        <v>✓ OK</v>
      </c>
    </row>
    <row r="24" spans="1:11" ht="7.5" customHeight="1" x14ac:dyDescent="0.25"/>
    <row r="25" spans="1:11" ht="21.75" customHeight="1" x14ac:dyDescent="0.25">
      <c r="A25" s="96" t="s">
        <v>403</v>
      </c>
      <c r="B25" s="96"/>
      <c r="C25" s="96"/>
      <c r="D25" s="96"/>
      <c r="E25" s="96"/>
      <c r="F25" s="96"/>
      <c r="H25" s="126" t="s">
        <v>403</v>
      </c>
      <c r="I25" s="126"/>
      <c r="J25" s="126"/>
      <c r="K25" s="126"/>
    </row>
    <row r="26" spans="1:11" ht="43.5" customHeight="1" x14ac:dyDescent="0.25">
      <c r="A26" s="3">
        <v>1</v>
      </c>
      <c r="B26" s="3" t="s">
        <v>202</v>
      </c>
      <c r="C26" s="5" t="s">
        <v>253</v>
      </c>
      <c r="D26" s="38">
        <f>LEN(C26)</f>
        <v>86</v>
      </c>
      <c r="E26" s="3">
        <v>90</v>
      </c>
      <c r="F26" s="19" t="str">
        <f>IF(C26="","—",IF(LEN(C26)&lt;=90,"✓ OK","✗ "&amp;(LEN(C26)-90)&amp;" over"))</f>
        <v>✓ OK</v>
      </c>
      <c r="H26" s="42" t="s">
        <v>253</v>
      </c>
      <c r="I26" s="43">
        <f>LEN(H26)</f>
        <v>86</v>
      </c>
      <c r="J26" s="44">
        <v>90</v>
      </c>
      <c r="K26" s="45" t="str">
        <f>IF(H26="","—",IF(LEN(H26)&lt;=90,"✓ OK","✗ "&amp;(LEN(H26)-90)&amp;" over"))</f>
        <v>✓ OK</v>
      </c>
    </row>
    <row r="27" spans="1:11" ht="43.5" customHeight="1" x14ac:dyDescent="0.25">
      <c r="A27" s="6">
        <v>2</v>
      </c>
      <c r="B27" s="6" t="s">
        <v>202</v>
      </c>
      <c r="C27" s="8" t="s">
        <v>257</v>
      </c>
      <c r="D27" s="40">
        <f>LEN(C27)</f>
        <v>88</v>
      </c>
      <c r="E27" s="6">
        <v>90</v>
      </c>
      <c r="F27" s="28" t="str">
        <f>IF(C27="","—",IF(LEN(C27)&lt;=90,"✓ OK","✗ "&amp;(LEN(C27)-90)&amp;" over"))</f>
        <v>✓ OK</v>
      </c>
      <c r="H27" s="42" t="s">
        <v>257</v>
      </c>
      <c r="I27" s="43">
        <f>LEN(H27)</f>
        <v>88</v>
      </c>
      <c r="J27" s="44">
        <v>90</v>
      </c>
      <c r="K27" s="45" t="str">
        <f>IF(H27="","—",IF(LEN(H27)&lt;=90,"✓ OK","✗ "&amp;(LEN(H27)-90)&amp;" over"))</f>
        <v>✓ OK</v>
      </c>
    </row>
    <row r="28" spans="1:11" ht="43.5" customHeight="1" x14ac:dyDescent="0.25">
      <c r="A28" s="3">
        <v>3</v>
      </c>
      <c r="B28" s="3" t="s">
        <v>202</v>
      </c>
      <c r="C28" s="5" t="s">
        <v>258</v>
      </c>
      <c r="D28" s="38">
        <f>LEN(C28)</f>
        <v>90</v>
      </c>
      <c r="E28" s="3">
        <v>90</v>
      </c>
      <c r="F28" s="19" t="str">
        <f>IF(C28="","—",IF(LEN(C28)&lt;=90,"✓ OK","✗ "&amp;(LEN(C28)-90)&amp;" over"))</f>
        <v>✓ OK</v>
      </c>
      <c r="H28" s="42" t="s">
        <v>258</v>
      </c>
      <c r="I28" s="43">
        <f>LEN(H28)</f>
        <v>90</v>
      </c>
      <c r="J28" s="44">
        <v>90</v>
      </c>
      <c r="K28" s="45" t="str">
        <f>IF(H28="","—",IF(LEN(H28)&lt;=90,"✓ OK","✗ "&amp;(LEN(H28)-90)&amp;" over"))</f>
        <v>✓ OK</v>
      </c>
    </row>
    <row r="29" spans="1:11" ht="43.5" customHeight="1" x14ac:dyDescent="0.25">
      <c r="A29" s="6">
        <v>4</v>
      </c>
      <c r="B29" s="6" t="s">
        <v>202</v>
      </c>
      <c r="C29" s="8" t="s">
        <v>260</v>
      </c>
      <c r="D29" s="40">
        <f>LEN(C29)</f>
        <v>89</v>
      </c>
      <c r="E29" s="6">
        <v>90</v>
      </c>
      <c r="F29" s="28" t="str">
        <f>IF(C29="","—",IF(LEN(C29)&lt;=90,"✓ OK","✗ "&amp;(LEN(C29)-90)&amp;" over"))</f>
        <v>✓ OK</v>
      </c>
      <c r="H29" s="42" t="s">
        <v>260</v>
      </c>
      <c r="I29" s="43">
        <f>LEN(H29)</f>
        <v>89</v>
      </c>
      <c r="J29" s="44">
        <v>90</v>
      </c>
      <c r="K29" s="45" t="str">
        <f>IF(H29="","—",IF(LEN(H29)&lt;=90,"✓ OK","✗ "&amp;(LEN(H29)-90)&amp;" over"))</f>
        <v>✓ OK</v>
      </c>
    </row>
    <row r="30" spans="1:11" ht="43.5" customHeight="1" x14ac:dyDescent="0.25">
      <c r="A30" s="3">
        <v>5</v>
      </c>
      <c r="B30" s="3" t="s">
        <v>202</v>
      </c>
      <c r="C30" s="5" t="s">
        <v>404</v>
      </c>
      <c r="D30" s="38">
        <f>LEN(C30)</f>
        <v>91</v>
      </c>
      <c r="E30" s="3">
        <v>90</v>
      </c>
      <c r="F30" s="19" t="str">
        <f>IF(C30="","—",IF(LEN(C30)&lt;=90,"✓ OK","✗ "&amp;(LEN(C30)-90)&amp;" over"))</f>
        <v>✗ 1 over</v>
      </c>
      <c r="H30" s="42" t="s">
        <v>405</v>
      </c>
      <c r="I30" s="43">
        <f>LEN(H30)</f>
        <v>86</v>
      </c>
      <c r="J30" s="44">
        <v>90</v>
      </c>
      <c r="K30" s="45" t="str">
        <f>IF(H30="","—",IF(LEN(H30)&lt;=90,"✓ OK","✗ "&amp;(LEN(H30)-90)&amp;" over"))</f>
        <v>✓ OK</v>
      </c>
    </row>
    <row r="31" spans="1:11" ht="7.5" customHeight="1" x14ac:dyDescent="0.25"/>
    <row r="32" spans="1:11" ht="21.75" customHeight="1" x14ac:dyDescent="0.25">
      <c r="A32" s="96" t="s">
        <v>406</v>
      </c>
      <c r="B32" s="96"/>
      <c r="C32" s="96"/>
      <c r="D32" s="96"/>
      <c r="E32" s="96"/>
      <c r="F32" s="96"/>
      <c r="G32" s="96"/>
      <c r="H32" s="96"/>
      <c r="I32" s="96"/>
      <c r="J32" s="96"/>
      <c r="K32" s="96"/>
    </row>
    <row r="33" spans="1:11" ht="21.75" customHeight="1" x14ac:dyDescent="0.25">
      <c r="A33" s="7" t="s">
        <v>407</v>
      </c>
      <c r="B33" s="6" t="s">
        <v>202</v>
      </c>
      <c r="C33" s="36" t="s">
        <v>8</v>
      </c>
      <c r="D33" s="40">
        <f>LEN(C33)</f>
        <v>14</v>
      </c>
      <c r="E33" s="6">
        <v>25</v>
      </c>
      <c r="F33" s="40" t="str">
        <f>IF(LEN(C33)&lt;=25,"✓ OK","✗ OVER")</f>
        <v>✓ OK</v>
      </c>
    </row>
    <row r="34" spans="1:11" ht="21.75" customHeight="1" x14ac:dyDescent="0.25">
      <c r="A34" s="7" t="s">
        <v>408</v>
      </c>
      <c r="B34" s="124" t="s">
        <v>409</v>
      </c>
      <c r="C34" s="124"/>
      <c r="D34" s="124"/>
      <c r="E34" s="124"/>
      <c r="F34" s="124"/>
      <c r="G34" s="124"/>
      <c r="H34" s="124"/>
      <c r="I34" s="124"/>
      <c r="J34" s="124"/>
      <c r="K34" s="124"/>
    </row>
    <row r="35" spans="1:11" ht="7.5" customHeight="1" x14ac:dyDescent="0.25"/>
    <row r="36" spans="1:11" ht="19.5" customHeight="1" x14ac:dyDescent="0.25">
      <c r="A36" s="125" t="s">
        <v>410</v>
      </c>
      <c r="B36" s="125"/>
      <c r="C36" s="125"/>
      <c r="D36" s="125"/>
      <c r="E36" s="125"/>
      <c r="F36" s="125"/>
      <c r="G36" s="125"/>
      <c r="H36" s="125"/>
      <c r="I36" s="125"/>
      <c r="J36" s="125"/>
      <c r="K36" s="125"/>
    </row>
  </sheetData>
  <mergeCells count="12">
    <mergeCell ref="A1:K1"/>
    <mergeCell ref="A2:K2"/>
    <mergeCell ref="A4:K4"/>
    <mergeCell ref="A6:F6"/>
    <mergeCell ref="H6:K6"/>
    <mergeCell ref="B34:K34"/>
    <mergeCell ref="A36:K36"/>
    <mergeCell ref="A18:F18"/>
    <mergeCell ref="H18:K18"/>
    <mergeCell ref="A25:F25"/>
    <mergeCell ref="H25:K25"/>
    <mergeCell ref="A32:K32"/>
  </mergeCells>
  <conditionalFormatting sqref="D7:D16">
    <cfRule type="cellIs" dxfId="69" priority="2" operator="greaterThan">
      <formula>30</formula>
    </cfRule>
    <cfRule type="cellIs" dxfId="68" priority="3" operator="between">
      <formula>27</formula>
      <formula>30</formula>
    </cfRule>
    <cfRule type="cellIs" dxfId="67" priority="4" operator="lessThan">
      <formula>27</formula>
    </cfRule>
  </conditionalFormatting>
  <conditionalFormatting sqref="F7:F16">
    <cfRule type="containsText" dxfId="66" priority="5" operator="containsText" text="OVER">
      <formula>NOT(ISERROR(SEARCH("OVER",F7)))</formula>
    </cfRule>
    <cfRule type="containsText" dxfId="65" priority="6" operator="containsText" text="OK">
      <formula>NOT(ISERROR(SEARCH("OK",F7)))</formula>
    </cfRule>
  </conditionalFormatting>
  <conditionalFormatting sqref="I7:I16">
    <cfRule type="cellIs" dxfId="64" priority="7" operator="greaterThan">
      <formula>30</formula>
    </cfRule>
    <cfRule type="cellIs" dxfId="63" priority="8" operator="between">
      <formula>27</formula>
      <formula>30</formula>
    </cfRule>
    <cfRule type="cellIs" dxfId="62" priority="9" operator="lessThan">
      <formula>27</formula>
    </cfRule>
  </conditionalFormatting>
  <conditionalFormatting sqref="K7:K16">
    <cfRule type="containsText" dxfId="61" priority="10" operator="containsText" text="OVER">
      <formula>NOT(ISERROR(SEARCH("OVER",K7)))</formula>
    </cfRule>
    <cfRule type="containsText" dxfId="60" priority="11" operator="containsText" text="OK">
      <formula>NOT(ISERROR(SEARCH("OK",K7)))</formula>
    </cfRule>
  </conditionalFormatting>
  <conditionalFormatting sqref="D19:D23">
    <cfRule type="cellIs" dxfId="59" priority="12" operator="greaterThan">
      <formula>90</formula>
    </cfRule>
    <cfRule type="cellIs" dxfId="58" priority="13" operator="between">
      <formula>87</formula>
      <formula>90</formula>
    </cfRule>
    <cfRule type="cellIs" dxfId="57" priority="14" operator="lessThan">
      <formula>87</formula>
    </cfRule>
  </conditionalFormatting>
  <conditionalFormatting sqref="F19:F23">
    <cfRule type="containsText" dxfId="56" priority="15" operator="containsText" text="OVER">
      <formula>NOT(ISERROR(SEARCH("OVER",F19)))</formula>
    </cfRule>
    <cfRule type="containsText" dxfId="55" priority="16" operator="containsText" text="OK">
      <formula>NOT(ISERROR(SEARCH("OK",F19)))</formula>
    </cfRule>
  </conditionalFormatting>
  <conditionalFormatting sqref="I19:I23">
    <cfRule type="cellIs" dxfId="54" priority="17" operator="greaterThan">
      <formula>90</formula>
    </cfRule>
    <cfRule type="cellIs" dxfId="53" priority="18" operator="between">
      <formula>87</formula>
      <formula>90</formula>
    </cfRule>
    <cfRule type="cellIs" dxfId="52" priority="19" operator="lessThan">
      <formula>87</formula>
    </cfRule>
  </conditionalFormatting>
  <conditionalFormatting sqref="K19:K23">
    <cfRule type="containsText" dxfId="51" priority="20" operator="containsText" text="OVER">
      <formula>NOT(ISERROR(SEARCH("OVER",K19)))</formula>
    </cfRule>
    <cfRule type="containsText" dxfId="50" priority="21" operator="containsText" text="OK">
      <formula>NOT(ISERROR(SEARCH("OK",K19)))</formula>
    </cfRule>
  </conditionalFormatting>
  <conditionalFormatting sqref="D26:D30">
    <cfRule type="cellIs" dxfId="49" priority="22" operator="greaterThan">
      <formula>90</formula>
    </cfRule>
    <cfRule type="cellIs" dxfId="48" priority="23" operator="between">
      <formula>87</formula>
      <formula>90</formula>
    </cfRule>
    <cfRule type="cellIs" dxfId="47" priority="24" operator="lessThan">
      <formula>87</formula>
    </cfRule>
  </conditionalFormatting>
  <conditionalFormatting sqref="F26:F30">
    <cfRule type="containsText" dxfId="46" priority="25" operator="containsText" text="OVER">
      <formula>NOT(ISERROR(SEARCH("OVER",F26)))</formula>
    </cfRule>
    <cfRule type="containsText" dxfId="45" priority="26" operator="containsText" text="OK">
      <formula>NOT(ISERROR(SEARCH("OK",F26)))</formula>
    </cfRule>
  </conditionalFormatting>
  <conditionalFormatting sqref="I26:I30">
    <cfRule type="cellIs" dxfId="44" priority="27" operator="greaterThan">
      <formula>90</formula>
    </cfRule>
    <cfRule type="cellIs" dxfId="43" priority="28" operator="between">
      <formula>87</formula>
      <formula>90</formula>
    </cfRule>
    <cfRule type="cellIs" dxfId="42" priority="29" operator="lessThan">
      <formula>87</formula>
    </cfRule>
  </conditionalFormatting>
  <conditionalFormatting sqref="K26:K30">
    <cfRule type="containsText" dxfId="41" priority="30" operator="containsText" text="OVER">
      <formula>NOT(ISERROR(SEARCH("OVER",K26)))</formula>
    </cfRule>
    <cfRule type="containsText" dxfId="40" priority="31" operator="containsText" text="OK">
      <formula>NOT(ISERROR(SEARCH("OK",K26)))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5100"/>
  </sheetPr>
  <dimension ref="A1:H20"/>
  <sheetViews>
    <sheetView showGridLines="0" zoomScaleNormal="100" workbookViewId="0">
      <selection activeCell="A5" sqref="A5"/>
    </sheetView>
  </sheetViews>
  <sheetFormatPr defaultColWidth="8.7109375" defaultRowHeight="15" x14ac:dyDescent="0.25"/>
  <cols>
    <col min="1" max="1" width="4" style="1" customWidth="1"/>
    <col min="2" max="2" width="10" style="1" customWidth="1"/>
    <col min="3" max="3" width="52" style="1" customWidth="1"/>
    <col min="4" max="4" width="8" style="1" customWidth="1"/>
    <col min="5" max="5" width="7" style="1" customWidth="1"/>
    <col min="6" max="6" width="16" style="1" customWidth="1"/>
    <col min="7" max="8" width="3" style="1" customWidth="1"/>
  </cols>
  <sheetData>
    <row r="1" spans="1:8" ht="33.75" customHeight="1" x14ac:dyDescent="0.25">
      <c r="A1" s="102" t="s">
        <v>411</v>
      </c>
      <c r="B1" s="102"/>
      <c r="C1" s="102"/>
      <c r="D1" s="102"/>
      <c r="E1" s="102"/>
      <c r="F1" s="102"/>
      <c r="G1" s="102"/>
      <c r="H1" s="102"/>
    </row>
    <row r="2" spans="1:8" ht="18" customHeight="1" x14ac:dyDescent="0.25">
      <c r="A2" s="101" t="s">
        <v>412</v>
      </c>
      <c r="B2" s="101"/>
      <c r="C2" s="101"/>
      <c r="D2" s="101"/>
      <c r="E2" s="101"/>
      <c r="F2" s="101"/>
      <c r="G2" s="101"/>
      <c r="H2" s="101"/>
    </row>
    <row r="3" spans="1:8" ht="7.5" customHeight="1" x14ac:dyDescent="0.25"/>
    <row r="4" spans="1:8" ht="21.75" customHeight="1" x14ac:dyDescent="0.25">
      <c r="A4" s="96" t="s">
        <v>413</v>
      </c>
      <c r="B4" s="96"/>
      <c r="C4" s="96"/>
      <c r="D4" s="96"/>
      <c r="E4" s="96"/>
      <c r="F4" s="96"/>
      <c r="G4" s="96"/>
      <c r="H4" s="96"/>
    </row>
    <row r="5" spans="1:8" ht="31.5" customHeight="1" x14ac:dyDescent="0.25">
      <c r="A5" s="2" t="s">
        <v>85</v>
      </c>
      <c r="B5" s="2" t="s">
        <v>196</v>
      </c>
      <c r="C5" s="2" t="s">
        <v>414</v>
      </c>
      <c r="D5" s="2" t="s">
        <v>198</v>
      </c>
      <c r="E5" s="2" t="s">
        <v>199</v>
      </c>
      <c r="F5" s="2" t="s">
        <v>96</v>
      </c>
    </row>
    <row r="6" spans="1:8" ht="25.5" customHeight="1" x14ac:dyDescent="0.25">
      <c r="A6" s="3">
        <v>1</v>
      </c>
      <c r="B6" s="3" t="s">
        <v>202</v>
      </c>
      <c r="C6" s="5" t="s">
        <v>415</v>
      </c>
      <c r="D6" s="38">
        <f>LEN(C6)</f>
        <v>31</v>
      </c>
      <c r="E6" s="3">
        <v>40</v>
      </c>
      <c r="F6" s="19" t="str">
        <f>IF(C6="","—",IF(LEN(C6)&lt;=40,"✓ OK","✗ "&amp;(LEN(C6)-40)&amp;" over"))</f>
        <v>✓ OK</v>
      </c>
    </row>
    <row r="7" spans="1:8" ht="25.5" customHeight="1" x14ac:dyDescent="0.25">
      <c r="A7" s="6">
        <v>2</v>
      </c>
      <c r="B7" s="6" t="s">
        <v>202</v>
      </c>
      <c r="C7" s="8" t="s">
        <v>416</v>
      </c>
      <c r="D7" s="40">
        <f>LEN(C7)</f>
        <v>35</v>
      </c>
      <c r="E7" s="6">
        <v>40</v>
      </c>
      <c r="F7" s="28" t="str">
        <f>IF(C7="","—",IF(LEN(C7)&lt;=40,"✓ OK","✗ "&amp;(LEN(C7)-40)&amp;" over"))</f>
        <v>✓ OK</v>
      </c>
    </row>
    <row r="8" spans="1:8" ht="25.5" customHeight="1" x14ac:dyDescent="0.25">
      <c r="A8" s="3">
        <v>3</v>
      </c>
      <c r="B8" s="3" t="s">
        <v>202</v>
      </c>
      <c r="C8" s="5" t="s">
        <v>417</v>
      </c>
      <c r="D8" s="38">
        <f>LEN(C8)</f>
        <v>35</v>
      </c>
      <c r="E8" s="3">
        <v>40</v>
      </c>
      <c r="F8" s="19" t="str">
        <f>IF(C8="","—",IF(LEN(C8)&lt;=40,"✓ OK","✗ "&amp;(LEN(C8)-40)&amp;" over"))</f>
        <v>✓ OK</v>
      </c>
    </row>
    <row r="9" spans="1:8" ht="25.5" customHeight="1" x14ac:dyDescent="0.25">
      <c r="A9" s="6">
        <v>4</v>
      </c>
      <c r="B9" s="6" t="s">
        <v>202</v>
      </c>
      <c r="C9" s="8" t="s">
        <v>418</v>
      </c>
      <c r="D9" s="40">
        <f>LEN(C9)</f>
        <v>36</v>
      </c>
      <c r="E9" s="6">
        <v>40</v>
      </c>
      <c r="F9" s="28" t="str">
        <f>IF(C9="","—",IF(LEN(C9)&lt;=40,"✓ OK","✗ "&amp;(LEN(C9)-40)&amp;" over"))</f>
        <v>✓ OK</v>
      </c>
    </row>
    <row r="10" spans="1:8" ht="25.5" customHeight="1" x14ac:dyDescent="0.25">
      <c r="A10" s="3">
        <v>5</v>
      </c>
      <c r="B10" s="3" t="s">
        <v>202</v>
      </c>
      <c r="C10" s="5" t="s">
        <v>419</v>
      </c>
      <c r="D10" s="38">
        <f>LEN(C10)</f>
        <v>37</v>
      </c>
      <c r="E10" s="3">
        <v>40</v>
      </c>
      <c r="F10" s="19" t="str">
        <f>IF(C10="","—",IF(LEN(C10)&lt;=40,"✓ OK","✗ "&amp;(LEN(C10)-40)&amp;" over"))</f>
        <v>✓ OK</v>
      </c>
    </row>
    <row r="11" spans="1:8" ht="7.5" customHeight="1" x14ac:dyDescent="0.25"/>
    <row r="12" spans="1:8" ht="21.75" customHeight="1" x14ac:dyDescent="0.25">
      <c r="A12" s="96" t="s">
        <v>420</v>
      </c>
      <c r="B12" s="96"/>
      <c r="C12" s="96"/>
      <c r="D12" s="96"/>
      <c r="E12" s="96"/>
      <c r="F12" s="96"/>
      <c r="G12" s="96"/>
      <c r="H12" s="96"/>
    </row>
    <row r="13" spans="1:8" ht="31.5" customHeight="1" x14ac:dyDescent="0.25">
      <c r="A13" s="2" t="s">
        <v>85</v>
      </c>
      <c r="B13" s="2" t="s">
        <v>196</v>
      </c>
      <c r="C13" s="2" t="s">
        <v>421</v>
      </c>
      <c r="D13" s="2" t="s">
        <v>198</v>
      </c>
      <c r="E13" s="2" t="s">
        <v>199</v>
      </c>
      <c r="F13" s="2" t="s">
        <v>96</v>
      </c>
    </row>
    <row r="14" spans="1:8" ht="43.5" customHeight="1" x14ac:dyDescent="0.25">
      <c r="A14" s="3">
        <v>1</v>
      </c>
      <c r="B14" s="3" t="s">
        <v>202</v>
      </c>
      <c r="C14" s="5" t="s">
        <v>422</v>
      </c>
      <c r="D14" s="38">
        <f>LEN(C14)</f>
        <v>83</v>
      </c>
      <c r="E14" s="3">
        <v>90</v>
      </c>
      <c r="F14" s="19" t="str">
        <f>IF(C14="","—",IF(LEN(C14)&lt;=90,"✓ OK","✗ "&amp;(LEN(C14)-90)&amp;" over"))</f>
        <v>✓ OK</v>
      </c>
    </row>
    <row r="15" spans="1:8" ht="43.5" customHeight="1" x14ac:dyDescent="0.25">
      <c r="A15" s="6">
        <v>2</v>
      </c>
      <c r="B15" s="6" t="s">
        <v>202</v>
      </c>
      <c r="C15" s="8" t="s">
        <v>423</v>
      </c>
      <c r="D15" s="40">
        <f>LEN(C15)</f>
        <v>86</v>
      </c>
      <c r="E15" s="6">
        <v>90</v>
      </c>
      <c r="F15" s="28" t="str">
        <f>IF(C15="","—",IF(LEN(C15)&lt;=90,"✓ OK","✗ "&amp;(LEN(C15)-90)&amp;" over"))</f>
        <v>✓ OK</v>
      </c>
    </row>
    <row r="16" spans="1:8" ht="43.5" customHeight="1" x14ac:dyDescent="0.25">
      <c r="A16" s="3">
        <v>3</v>
      </c>
      <c r="B16" s="3" t="s">
        <v>202</v>
      </c>
      <c r="C16" s="5" t="s">
        <v>424</v>
      </c>
      <c r="D16" s="38">
        <f>LEN(C16)</f>
        <v>88</v>
      </c>
      <c r="E16" s="3">
        <v>90</v>
      </c>
      <c r="F16" s="19" t="str">
        <f>IF(C16="","—",IF(LEN(C16)&lt;=90,"✓ OK","✗ "&amp;(LEN(C16)-90)&amp;" over"))</f>
        <v>✓ OK</v>
      </c>
    </row>
    <row r="17" spans="1:8" ht="43.5" customHeight="1" x14ac:dyDescent="0.25">
      <c r="A17" s="6">
        <v>4</v>
      </c>
      <c r="B17" s="6" t="s">
        <v>202</v>
      </c>
      <c r="C17" s="8" t="s">
        <v>425</v>
      </c>
      <c r="D17" s="40">
        <f>LEN(C17)</f>
        <v>88</v>
      </c>
      <c r="E17" s="6">
        <v>90</v>
      </c>
      <c r="F17" s="28" t="str">
        <f>IF(C17="","—",IF(LEN(C17)&lt;=90,"✓ OK","✗ "&amp;(LEN(C17)-90)&amp;" over"))</f>
        <v>✓ OK</v>
      </c>
    </row>
    <row r="18" spans="1:8" ht="43.5" customHeight="1" x14ac:dyDescent="0.25">
      <c r="A18" s="3">
        <v>5</v>
      </c>
      <c r="B18" s="3" t="s">
        <v>202</v>
      </c>
      <c r="C18" s="5" t="s">
        <v>426</v>
      </c>
      <c r="D18" s="38">
        <f>LEN(C18)</f>
        <v>81</v>
      </c>
      <c r="E18" s="3">
        <v>90</v>
      </c>
      <c r="F18" s="19" t="str">
        <f>IF(C18="","—",IF(LEN(C18)&lt;=90,"✓ OK","✗ "&amp;(LEN(C18)-90)&amp;" over"))</f>
        <v>✓ OK</v>
      </c>
    </row>
    <row r="19" spans="1:8" ht="7.5" customHeight="1" x14ac:dyDescent="0.25"/>
    <row r="20" spans="1:8" ht="21.75" customHeight="1" x14ac:dyDescent="0.25">
      <c r="A20" s="127" t="s">
        <v>427</v>
      </c>
      <c r="B20" s="127"/>
      <c r="C20" s="127"/>
      <c r="D20" s="127"/>
      <c r="E20" s="127"/>
      <c r="F20" s="127"/>
      <c r="G20" s="127"/>
      <c r="H20" s="127"/>
    </row>
  </sheetData>
  <mergeCells count="5">
    <mergeCell ref="A1:H1"/>
    <mergeCell ref="A2:H2"/>
    <mergeCell ref="A4:H4"/>
    <mergeCell ref="A12:H12"/>
    <mergeCell ref="A20:H20"/>
  </mergeCells>
  <conditionalFormatting sqref="D6:D10">
    <cfRule type="cellIs" dxfId="39" priority="2" operator="greaterThan">
      <formula>40</formula>
    </cfRule>
    <cfRule type="cellIs" dxfId="38" priority="3" operator="between">
      <formula>37</formula>
      <formula>40</formula>
    </cfRule>
    <cfRule type="cellIs" dxfId="37" priority="4" operator="lessThan">
      <formula>37</formula>
    </cfRule>
  </conditionalFormatting>
  <conditionalFormatting sqref="F6:F10">
    <cfRule type="containsText" dxfId="36" priority="5" operator="containsText" text="OVER">
      <formula>NOT(ISERROR(SEARCH("OVER",F6)))</formula>
    </cfRule>
    <cfRule type="containsText" dxfId="35" priority="6" operator="containsText" text="OK">
      <formula>NOT(ISERROR(SEARCH("OK",F6)))</formula>
    </cfRule>
  </conditionalFormatting>
  <conditionalFormatting sqref="D14:D18">
    <cfRule type="cellIs" dxfId="34" priority="7" operator="greaterThan">
      <formula>90</formula>
    </cfRule>
    <cfRule type="cellIs" dxfId="33" priority="8" operator="between">
      <formula>87</formula>
      <formula>90</formula>
    </cfRule>
    <cfRule type="cellIs" dxfId="32" priority="9" operator="lessThan">
      <formula>87</formula>
    </cfRule>
  </conditionalFormatting>
  <conditionalFormatting sqref="F14:F18">
    <cfRule type="containsText" dxfId="31" priority="10" operator="containsText" text="OVER">
      <formula>NOT(ISERROR(SEARCH("OVER",F14)))</formula>
    </cfRule>
    <cfRule type="containsText" dxfId="30" priority="11" operator="containsText" text="OK">
      <formula>NOT(ISERROR(SEARCH("OK",F14)))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877F2"/>
  </sheetPr>
  <dimension ref="A1:O34"/>
  <sheetViews>
    <sheetView showGridLines="0" topLeftCell="A15" zoomScaleNormal="100" workbookViewId="0">
      <selection activeCell="A15" sqref="A15"/>
    </sheetView>
  </sheetViews>
  <sheetFormatPr defaultColWidth="8.7109375" defaultRowHeight="15" x14ac:dyDescent="0.25"/>
  <cols>
    <col min="1" max="1" width="4" style="1" customWidth="1"/>
    <col min="2" max="2" width="10" style="1" customWidth="1"/>
    <col min="3" max="3" width="52" style="1" customWidth="1"/>
    <col min="4" max="4" width="8" style="1" customWidth="1"/>
    <col min="5" max="5" width="7" style="1" customWidth="1"/>
    <col min="6" max="6" width="16" style="1" customWidth="1"/>
    <col min="7" max="7" width="3" style="1" customWidth="1"/>
    <col min="8" max="8" width="6" style="1" customWidth="1"/>
    <col min="9" max="9" width="48" style="1" customWidth="1"/>
    <col min="10" max="10" width="8" style="1" customWidth="1"/>
    <col min="11" max="11" width="7" style="1" customWidth="1"/>
    <col min="12" max="12" width="16" style="1" customWidth="1"/>
    <col min="13" max="15" width="3" style="1" customWidth="1"/>
  </cols>
  <sheetData>
    <row r="1" spans="1:15" ht="33.75" customHeight="1" x14ac:dyDescent="0.25">
      <c r="A1" s="102" t="s">
        <v>428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</row>
    <row r="2" spans="1:15" ht="18" customHeight="1" x14ac:dyDescent="0.25">
      <c r="A2" s="101" t="s">
        <v>429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</row>
    <row r="3" spans="1:15" ht="7.5" customHeight="1" x14ac:dyDescent="0.25"/>
    <row r="4" spans="1:15" ht="21.75" customHeight="1" x14ac:dyDescent="0.25">
      <c r="A4" s="96" t="s">
        <v>430</v>
      </c>
      <c r="B4" s="96"/>
      <c r="C4" s="96"/>
      <c r="D4" s="96"/>
      <c r="E4" s="96"/>
      <c r="F4" s="96"/>
      <c r="H4" s="138" t="s">
        <v>431</v>
      </c>
      <c r="I4" s="138"/>
      <c r="J4" s="138"/>
      <c r="K4" s="138"/>
      <c r="L4" s="138"/>
      <c r="M4" s="138"/>
      <c r="N4" s="138"/>
      <c r="O4" s="138"/>
    </row>
    <row r="5" spans="1:15" ht="18" customHeight="1" x14ac:dyDescent="0.25">
      <c r="A5" s="3">
        <v>1</v>
      </c>
      <c r="B5" s="136" t="s">
        <v>432</v>
      </c>
      <c r="C5" s="136"/>
      <c r="D5" s="118" t="s">
        <v>433</v>
      </c>
      <c r="E5" s="118"/>
      <c r="F5" s="118"/>
      <c r="H5" s="139" t="s">
        <v>434</v>
      </c>
      <c r="I5" s="139"/>
      <c r="J5" s="139"/>
      <c r="K5" s="139"/>
      <c r="L5" s="139"/>
      <c r="M5" s="139"/>
      <c r="N5" s="139"/>
      <c r="O5" s="139"/>
    </row>
    <row r="6" spans="1:15" ht="18.75" customHeight="1" x14ac:dyDescent="0.25">
      <c r="A6" s="6">
        <v>2</v>
      </c>
      <c r="B6" s="104" t="s">
        <v>435</v>
      </c>
      <c r="C6" s="104"/>
      <c r="D6" s="118" t="s">
        <v>436</v>
      </c>
      <c r="E6" s="118"/>
      <c r="F6" s="118"/>
    </row>
    <row r="7" spans="1:15" ht="27.75" customHeight="1" x14ac:dyDescent="0.25">
      <c r="A7" s="3">
        <v>3</v>
      </c>
      <c r="B7" s="136" t="s">
        <v>437</v>
      </c>
      <c r="C7" s="136"/>
      <c r="D7" s="118" t="s">
        <v>438</v>
      </c>
      <c r="E7" s="118"/>
      <c r="F7" s="118"/>
      <c r="H7" s="137" t="s">
        <v>439</v>
      </c>
      <c r="I7" s="137"/>
      <c r="J7" s="137"/>
      <c r="K7" s="137"/>
      <c r="L7" s="137"/>
      <c r="M7" s="137"/>
      <c r="N7" s="137"/>
      <c r="O7" s="137"/>
    </row>
    <row r="8" spans="1:15" ht="25.5" customHeight="1" x14ac:dyDescent="0.25">
      <c r="A8" s="6">
        <v>4</v>
      </c>
      <c r="B8" s="104" t="s">
        <v>440</v>
      </c>
      <c r="C8" s="104"/>
      <c r="D8" s="118" t="s">
        <v>441</v>
      </c>
      <c r="E8" s="118"/>
      <c r="F8" s="118"/>
      <c r="H8" s="135" t="str">
        <f>IF(C14="","[Primary Text will appear here — write copy on the left]",LEFT(C14,125))</f>
        <v>Skip the personal loan. Your MF portfolio can fund your needs at 10.5%* p.a. — lien-mark your units, get cash, stay invested.</v>
      </c>
      <c r="I8" s="135"/>
      <c r="J8" s="135"/>
      <c r="K8" s="135"/>
      <c r="L8" s="135"/>
      <c r="M8" s="135"/>
      <c r="N8" s="135"/>
      <c r="O8" s="135"/>
    </row>
    <row r="9" spans="1:15" ht="25.5" customHeight="1" x14ac:dyDescent="0.25">
      <c r="A9" s="3">
        <v>5</v>
      </c>
      <c r="B9" s="136" t="s">
        <v>442</v>
      </c>
      <c r="C9" s="136"/>
      <c r="D9" s="118" t="s">
        <v>190</v>
      </c>
      <c r="E9" s="118"/>
      <c r="F9" s="118"/>
      <c r="H9" s="135"/>
      <c r="I9" s="135"/>
      <c r="J9" s="135"/>
      <c r="K9" s="135"/>
      <c r="L9" s="135"/>
      <c r="M9" s="135"/>
      <c r="N9" s="135"/>
      <c r="O9" s="135"/>
    </row>
    <row r="10" spans="1:15" ht="21.75" customHeight="1" x14ac:dyDescent="0.25">
      <c r="A10" s="6">
        <v>6</v>
      </c>
      <c r="B10" s="104" t="s">
        <v>443</v>
      </c>
      <c r="C10" s="104"/>
      <c r="D10" s="118" t="s">
        <v>444</v>
      </c>
      <c r="E10" s="118"/>
      <c r="F10" s="118"/>
      <c r="H10" s="134" t="s">
        <v>445</v>
      </c>
      <c r="I10" s="134"/>
      <c r="J10" s="134"/>
      <c r="K10" s="134"/>
      <c r="L10" s="134"/>
      <c r="M10" s="134"/>
      <c r="N10" s="134"/>
      <c r="O10" s="134"/>
    </row>
    <row r="11" spans="1:15" ht="21.75" customHeight="1" x14ac:dyDescent="0.25">
      <c r="H11" s="134"/>
      <c r="I11" s="134"/>
      <c r="J11" s="134"/>
      <c r="K11" s="134"/>
      <c r="L11" s="134"/>
      <c r="M11" s="134"/>
      <c r="N11" s="134"/>
      <c r="O11" s="134"/>
    </row>
    <row r="12" spans="1:15" ht="21.75" customHeight="1" x14ac:dyDescent="0.25">
      <c r="A12" s="96" t="s">
        <v>446</v>
      </c>
      <c r="B12" s="96"/>
      <c r="C12" s="96"/>
      <c r="D12" s="96"/>
      <c r="E12" s="96"/>
      <c r="F12" s="96"/>
      <c r="H12" s="134"/>
      <c r="I12" s="134"/>
      <c r="J12" s="134"/>
      <c r="K12" s="134"/>
      <c r="L12" s="134"/>
      <c r="M12" s="134"/>
      <c r="N12" s="134"/>
      <c r="O12" s="134"/>
    </row>
    <row r="13" spans="1:15" ht="21.75" customHeight="1" x14ac:dyDescent="0.25">
      <c r="A13" s="46" t="s">
        <v>447</v>
      </c>
      <c r="B13" s="46" t="s">
        <v>448</v>
      </c>
      <c r="C13" s="46" t="s">
        <v>449</v>
      </c>
      <c r="D13" s="46" t="s">
        <v>198</v>
      </c>
      <c r="E13" s="46" t="s">
        <v>450</v>
      </c>
      <c r="F13" s="46" t="s">
        <v>96</v>
      </c>
      <c r="H13" s="134"/>
      <c r="I13" s="134"/>
      <c r="J13" s="134"/>
      <c r="K13" s="134"/>
      <c r="L13" s="134"/>
      <c r="M13" s="134"/>
      <c r="N13" s="134"/>
      <c r="O13" s="134"/>
    </row>
    <row r="14" spans="1:15" ht="36" x14ac:dyDescent="0.25">
      <c r="A14" s="47" t="s">
        <v>451</v>
      </c>
      <c r="B14" s="3" t="s">
        <v>452</v>
      </c>
      <c r="C14" s="36" t="s">
        <v>453</v>
      </c>
      <c r="D14" s="18">
        <f>LEN(C14)</f>
        <v>139</v>
      </c>
      <c r="E14" s="3">
        <v>125</v>
      </c>
      <c r="F14" s="19" t="str">
        <f>IF(C14="","—",IF(LEN(C14)&lt;=125,"✓ OK","⚠ "&amp;(LEN(C14)-125)&amp;" over rec."))</f>
        <v>⚠ 14 over rec.</v>
      </c>
      <c r="H14" s="130" t="s">
        <v>454</v>
      </c>
      <c r="I14" s="130"/>
      <c r="J14" s="130"/>
      <c r="K14" s="130"/>
      <c r="L14" s="130"/>
      <c r="M14" s="130"/>
      <c r="N14" s="130"/>
      <c r="O14" s="130"/>
    </row>
    <row r="15" spans="1:15" ht="36" x14ac:dyDescent="0.25">
      <c r="A15" s="48" t="s">
        <v>455</v>
      </c>
      <c r="B15" s="6" t="s">
        <v>452</v>
      </c>
      <c r="C15" s="36" t="s">
        <v>456</v>
      </c>
      <c r="D15" s="27">
        <f>LEN(C15)</f>
        <v>136</v>
      </c>
      <c r="E15" s="6">
        <v>125</v>
      </c>
      <c r="F15" s="28" t="str">
        <f>IF(C15="","—",IF(LEN(C15)&lt;=125,"✓ OK","⚠ "&amp;(LEN(C15)-125)&amp;" over rec."))</f>
        <v>⚠ 11 over rec.</v>
      </c>
      <c r="H15" s="129" t="str">
        <f>IF(C22="","[Headline — write in V1 row above]",C22)</f>
        <v>LAMF @ 10.5%* p.a. — Stay Invested</v>
      </c>
      <c r="I15" s="129"/>
      <c r="J15" s="129"/>
      <c r="K15" s="129"/>
      <c r="L15" s="129"/>
      <c r="M15" s="129"/>
      <c r="N15" s="49" t="s">
        <v>457</v>
      </c>
      <c r="O15" s="50"/>
    </row>
    <row r="16" spans="1:15" ht="36" x14ac:dyDescent="0.25">
      <c r="A16" s="47" t="s">
        <v>458</v>
      </c>
      <c r="B16" s="3" t="s">
        <v>459</v>
      </c>
      <c r="C16" s="36" t="s">
        <v>460</v>
      </c>
      <c r="D16" s="18">
        <f>LEN(C16)</f>
        <v>149</v>
      </c>
      <c r="E16" s="3">
        <v>125</v>
      </c>
      <c r="F16" s="19" t="str">
        <f>IF(C16="","—",IF(LEN(C16)&lt;=125,"✓ OK","⚠ "&amp;(LEN(C16)-125)&amp;" over rec."))</f>
        <v>⚠ 24 over rec.</v>
      </c>
      <c r="H16" s="130" t="str">
        <f>IF(C30="","[Link description — write in V1 row above]",C30)</f>
        <v>Pledge MF. Access cash. Stay invested.</v>
      </c>
      <c r="I16" s="130"/>
      <c r="J16" s="130"/>
      <c r="K16" s="130"/>
      <c r="L16" s="130"/>
      <c r="M16" s="130"/>
      <c r="N16" s="130"/>
      <c r="O16" s="130"/>
    </row>
    <row r="17" spans="1:15" ht="36" x14ac:dyDescent="0.25">
      <c r="A17" s="48" t="s">
        <v>461</v>
      </c>
      <c r="B17" s="6" t="s">
        <v>462</v>
      </c>
      <c r="C17" s="36" t="s">
        <v>463</v>
      </c>
      <c r="D17" s="27">
        <f>LEN(C17)</f>
        <v>154</v>
      </c>
      <c r="E17" s="6">
        <v>125</v>
      </c>
      <c r="F17" s="28" t="str">
        <f>IF(C17="","—",IF(LEN(C17)&lt;=125,"✓ OK","⚠ "&amp;(LEN(C17)-125)&amp;" over rec."))</f>
        <v>⚠ 29 over rec.</v>
      </c>
      <c r="H17" s="131" t="s">
        <v>464</v>
      </c>
      <c r="I17" s="131"/>
      <c r="J17" s="131"/>
      <c r="K17" s="131"/>
      <c r="L17" s="131"/>
      <c r="M17" s="131"/>
      <c r="N17" s="131"/>
      <c r="O17" s="131"/>
    </row>
    <row r="18" spans="1:15" ht="32.25" customHeight="1" x14ac:dyDescent="0.25">
      <c r="A18" s="47" t="s">
        <v>465</v>
      </c>
      <c r="B18" s="3" t="s">
        <v>466</v>
      </c>
      <c r="C18" s="36" t="s">
        <v>467</v>
      </c>
      <c r="D18" s="18">
        <f>LEN(C18)</f>
        <v>143</v>
      </c>
      <c r="E18" s="3">
        <v>125</v>
      </c>
      <c r="F18" s="19" t="str">
        <f>IF(C18="","—",IF(LEN(C18)&lt;=125,"✓ OK","⚠ "&amp;(LEN(C18)-125)&amp;" over rec."))</f>
        <v>⚠ 18 over rec.</v>
      </c>
    </row>
    <row r="19" spans="1:15" ht="19.5" customHeight="1" x14ac:dyDescent="0.25">
      <c r="H19" s="132" t="s">
        <v>468</v>
      </c>
      <c r="I19" s="132"/>
      <c r="J19" s="132"/>
      <c r="K19" s="132"/>
      <c r="L19" s="132"/>
      <c r="M19" s="132"/>
      <c r="N19" s="132"/>
      <c r="O19" s="132"/>
    </row>
    <row r="20" spans="1:15" ht="36" customHeight="1" x14ac:dyDescent="0.25">
      <c r="A20" s="128" t="s">
        <v>469</v>
      </c>
      <c r="B20" s="128"/>
      <c r="C20" s="128"/>
      <c r="D20" s="128"/>
      <c r="E20" s="128"/>
      <c r="F20" s="128"/>
      <c r="H20" s="133" t="s">
        <v>470</v>
      </c>
      <c r="I20" s="133"/>
      <c r="J20" s="133"/>
      <c r="K20" s="133"/>
      <c r="L20" s="133"/>
      <c r="M20" s="133"/>
      <c r="N20" s="133"/>
      <c r="O20" s="133"/>
    </row>
    <row r="21" spans="1:15" x14ac:dyDescent="0.25">
      <c r="A21" s="46" t="s">
        <v>447</v>
      </c>
      <c r="B21" s="46" t="s">
        <v>448</v>
      </c>
      <c r="C21" s="46" t="s">
        <v>414</v>
      </c>
      <c r="D21" s="46" t="s">
        <v>198</v>
      </c>
      <c r="E21" s="46" t="s">
        <v>199</v>
      </c>
      <c r="F21" s="46" t="s">
        <v>96</v>
      </c>
    </row>
    <row r="22" spans="1:15" ht="19.5" customHeight="1" x14ac:dyDescent="0.25">
      <c r="A22" s="47" t="s">
        <v>451</v>
      </c>
      <c r="B22" s="3" t="s">
        <v>471</v>
      </c>
      <c r="C22" s="5" t="s">
        <v>472</v>
      </c>
      <c r="D22" s="38">
        <f>LEN(C22)</f>
        <v>34</v>
      </c>
      <c r="E22" s="3">
        <v>40</v>
      </c>
      <c r="F22" s="19" t="str">
        <f>IF(C22="","—",IF(LEN(C22)&lt;=40,"✓ OK","✗ "&amp;(LEN(C22)-40)&amp;" over"))</f>
        <v>✓ OK</v>
      </c>
      <c r="H22" s="109" t="s">
        <v>473</v>
      </c>
      <c r="I22" s="109"/>
      <c r="J22" s="109"/>
      <c r="K22" s="109"/>
      <c r="L22" s="109"/>
      <c r="M22" s="109"/>
      <c r="N22" s="109"/>
      <c r="O22" s="109"/>
    </row>
    <row r="23" spans="1:15" ht="21.75" customHeight="1" x14ac:dyDescent="0.25">
      <c r="A23" s="48" t="s">
        <v>455</v>
      </c>
      <c r="B23" s="6" t="s">
        <v>471</v>
      </c>
      <c r="C23" s="8" t="s">
        <v>474</v>
      </c>
      <c r="D23" s="40">
        <f>LEN(C23)</f>
        <v>38</v>
      </c>
      <c r="E23" s="6">
        <v>40</v>
      </c>
      <c r="F23" s="28" t="str">
        <f>IF(C23="","—",IF(LEN(C23)&lt;=40,"✓ OK","✗ "&amp;(LEN(C23)-40)&amp;" over"))</f>
        <v>✓ OK</v>
      </c>
      <c r="H23" s="51" t="s">
        <v>475</v>
      </c>
      <c r="I23" s="51" t="s">
        <v>476</v>
      </c>
      <c r="J23" s="51" t="s">
        <v>477</v>
      </c>
      <c r="K23" s="51" t="s">
        <v>232</v>
      </c>
    </row>
    <row r="24" spans="1:15" ht="19.5" customHeight="1" x14ac:dyDescent="0.25">
      <c r="A24" s="47" t="s">
        <v>458</v>
      </c>
      <c r="B24" s="3" t="s">
        <v>471</v>
      </c>
      <c r="C24" s="5" t="s">
        <v>478</v>
      </c>
      <c r="D24" s="38">
        <f>LEN(C24)</f>
        <v>32</v>
      </c>
      <c r="E24" s="3">
        <v>40</v>
      </c>
      <c r="F24" s="19" t="str">
        <f>IF(C24="","—",IF(LEN(C24)&lt;=40,"✓ OK","✗ "&amp;(LEN(C24)-40)&amp;" over"))</f>
        <v>✓ OK</v>
      </c>
      <c r="H24" s="35" t="s">
        <v>479</v>
      </c>
      <c r="I24" s="52" t="s">
        <v>480</v>
      </c>
      <c r="J24" s="52" t="s">
        <v>481</v>
      </c>
      <c r="K24" s="52" t="s">
        <v>482</v>
      </c>
    </row>
    <row r="25" spans="1:15" ht="19.5" customHeight="1" x14ac:dyDescent="0.25">
      <c r="A25" s="48" t="s">
        <v>461</v>
      </c>
      <c r="B25" s="6" t="s">
        <v>471</v>
      </c>
      <c r="C25" s="8" t="s">
        <v>483</v>
      </c>
      <c r="D25" s="40">
        <f>LEN(C25)</f>
        <v>28</v>
      </c>
      <c r="E25" s="6">
        <v>40</v>
      </c>
      <c r="F25" s="28" t="str">
        <f>IF(C25="","—",IF(LEN(C25)&lt;=40,"✓ OK","✗ "&amp;(LEN(C25)-40)&amp;" over"))</f>
        <v>✓ OK</v>
      </c>
      <c r="H25" s="53" t="s">
        <v>484</v>
      </c>
      <c r="I25" s="54" t="s">
        <v>485</v>
      </c>
      <c r="J25" s="54" t="s">
        <v>486</v>
      </c>
      <c r="K25" s="54" t="s">
        <v>487</v>
      </c>
    </row>
    <row r="26" spans="1:15" ht="19.5" customHeight="1" x14ac:dyDescent="0.25">
      <c r="A26" s="47" t="s">
        <v>465</v>
      </c>
      <c r="B26" s="3" t="s">
        <v>471</v>
      </c>
      <c r="C26" s="5" t="s">
        <v>210</v>
      </c>
      <c r="D26" s="38">
        <f>LEN(C26)</f>
        <v>28</v>
      </c>
      <c r="E26" s="3">
        <v>40</v>
      </c>
      <c r="F26" s="19" t="str">
        <f>IF(C26="","—",IF(LEN(C26)&lt;=40,"✓ OK","✗ "&amp;(LEN(C26)-40)&amp;" over"))</f>
        <v>✓ OK</v>
      </c>
      <c r="H26" s="35" t="s">
        <v>488</v>
      </c>
      <c r="I26" s="52" t="s">
        <v>489</v>
      </c>
      <c r="J26" s="52" t="s">
        <v>490</v>
      </c>
      <c r="K26" s="52" t="s">
        <v>491</v>
      </c>
    </row>
    <row r="27" spans="1:15" ht="19.5" customHeight="1" x14ac:dyDescent="0.25">
      <c r="H27" s="53" t="s">
        <v>492</v>
      </c>
      <c r="I27" s="54" t="s">
        <v>493</v>
      </c>
      <c r="J27" s="54" t="s">
        <v>494</v>
      </c>
      <c r="K27" s="54" t="s">
        <v>495</v>
      </c>
    </row>
    <row r="28" spans="1:15" ht="19.5" customHeight="1" x14ac:dyDescent="0.25">
      <c r="A28" s="128" t="s">
        <v>496</v>
      </c>
      <c r="B28" s="128"/>
      <c r="C28" s="128"/>
      <c r="D28" s="128"/>
      <c r="E28" s="128"/>
      <c r="F28" s="128"/>
      <c r="H28" s="35" t="s">
        <v>497</v>
      </c>
      <c r="I28" s="52" t="s">
        <v>498</v>
      </c>
      <c r="J28" s="52" t="s">
        <v>499</v>
      </c>
      <c r="K28" s="52" t="s">
        <v>500</v>
      </c>
    </row>
    <row r="29" spans="1:15" ht="27.75" customHeight="1" x14ac:dyDescent="0.25">
      <c r="A29" s="46" t="s">
        <v>447</v>
      </c>
      <c r="B29" s="46" t="s">
        <v>448</v>
      </c>
      <c r="C29" s="46" t="s">
        <v>501</v>
      </c>
      <c r="D29" s="46" t="s">
        <v>198</v>
      </c>
      <c r="E29" s="46" t="s">
        <v>199</v>
      </c>
      <c r="F29" s="46" t="s">
        <v>96</v>
      </c>
    </row>
    <row r="30" spans="1:15" ht="24" customHeight="1" x14ac:dyDescent="0.25">
      <c r="A30" s="47" t="s">
        <v>451</v>
      </c>
      <c r="B30" s="3" t="s">
        <v>471</v>
      </c>
      <c r="C30" s="5" t="s">
        <v>502</v>
      </c>
      <c r="D30" s="38">
        <f>LEN(C30)</f>
        <v>38</v>
      </c>
      <c r="E30" s="3">
        <v>30</v>
      </c>
      <c r="F30" s="19" t="str">
        <f>IF(C30="","—",IF(LEN(C30)&lt;=30,"✓ OK","✗ "&amp;(LEN(C30)-30)&amp;" over"))</f>
        <v>✗ 8 over</v>
      </c>
    </row>
    <row r="31" spans="1:15" ht="24" customHeight="1" x14ac:dyDescent="0.25">
      <c r="A31" s="48" t="s">
        <v>455</v>
      </c>
      <c r="B31" s="6" t="s">
        <v>471</v>
      </c>
      <c r="C31" s="8" t="s">
        <v>503</v>
      </c>
      <c r="D31" s="40">
        <f>LEN(C31)</f>
        <v>34</v>
      </c>
      <c r="E31" s="6">
        <v>30</v>
      </c>
      <c r="F31" s="28" t="str">
        <f>IF(C31="","—",IF(LEN(C31)&lt;=30,"✓ OK","✗ "&amp;(LEN(C31)-30)&amp;" over"))</f>
        <v>✗ 4 over</v>
      </c>
    </row>
    <row r="32" spans="1:15" ht="24" customHeight="1" x14ac:dyDescent="0.25">
      <c r="A32" s="47" t="s">
        <v>458</v>
      </c>
      <c r="B32" s="3" t="s">
        <v>471</v>
      </c>
      <c r="C32" s="5" t="s">
        <v>504</v>
      </c>
      <c r="D32" s="38">
        <f>LEN(C32)</f>
        <v>31</v>
      </c>
      <c r="E32" s="3">
        <v>30</v>
      </c>
      <c r="F32" s="19" t="str">
        <f>IF(C32="","—",IF(LEN(C32)&lt;=30,"✓ OK","✗ "&amp;(LEN(C32)-30)&amp;" over"))</f>
        <v>✗ 1 over</v>
      </c>
    </row>
    <row r="33" spans="1:6" ht="24" customHeight="1" x14ac:dyDescent="0.25">
      <c r="A33" s="48" t="s">
        <v>461</v>
      </c>
      <c r="B33" s="6" t="s">
        <v>471</v>
      </c>
      <c r="C33" s="8" t="s">
        <v>505</v>
      </c>
      <c r="D33" s="40">
        <f>LEN(C33)</f>
        <v>36</v>
      </c>
      <c r="E33" s="6">
        <v>30</v>
      </c>
      <c r="F33" s="28" t="str">
        <f>IF(C33="","—",IF(LEN(C33)&lt;=30,"✓ OK","✗ "&amp;(LEN(C33)-30)&amp;" over"))</f>
        <v>✗ 6 over</v>
      </c>
    </row>
    <row r="34" spans="1:6" ht="24" customHeight="1" x14ac:dyDescent="0.25">
      <c r="A34" s="47" t="s">
        <v>465</v>
      </c>
      <c r="B34" s="3" t="s">
        <v>471</v>
      </c>
      <c r="C34" s="5" t="s">
        <v>506</v>
      </c>
      <c r="D34" s="38">
        <f>LEN(C34)</f>
        <v>35</v>
      </c>
      <c r="E34" s="3">
        <v>30</v>
      </c>
      <c r="F34" s="19" t="str">
        <f>IF(C34="","—",IF(LEN(C34)&lt;=30,"✓ OK","✗ "&amp;(LEN(C34)-30)&amp;" over"))</f>
        <v>✗ 5 over</v>
      </c>
    </row>
  </sheetData>
  <mergeCells count="30">
    <mergeCell ref="A1:O1"/>
    <mergeCell ref="A2:O2"/>
    <mergeCell ref="A4:F4"/>
    <mergeCell ref="H4:O4"/>
    <mergeCell ref="B5:C5"/>
    <mergeCell ref="D5:F5"/>
    <mergeCell ref="H5:O5"/>
    <mergeCell ref="B6:C6"/>
    <mergeCell ref="D6:F6"/>
    <mergeCell ref="B7:C7"/>
    <mergeCell ref="D7:F7"/>
    <mergeCell ref="H7:O7"/>
    <mergeCell ref="B8:C8"/>
    <mergeCell ref="D8:F8"/>
    <mergeCell ref="H8:O9"/>
    <mergeCell ref="B9:C9"/>
    <mergeCell ref="D9:F9"/>
    <mergeCell ref="B10:C10"/>
    <mergeCell ref="D10:F10"/>
    <mergeCell ref="H10:O13"/>
    <mergeCell ref="A12:F12"/>
    <mergeCell ref="H14:O14"/>
    <mergeCell ref="H22:O22"/>
    <mergeCell ref="A28:F28"/>
    <mergeCell ref="H15:M15"/>
    <mergeCell ref="H16:O16"/>
    <mergeCell ref="H17:O17"/>
    <mergeCell ref="H19:O19"/>
    <mergeCell ref="A20:F20"/>
    <mergeCell ref="H20:O20"/>
  </mergeCells>
  <conditionalFormatting sqref="D14:D18">
    <cfRule type="cellIs" dxfId="29" priority="2" operator="greaterThan">
      <formula>125</formula>
    </cfRule>
    <cfRule type="cellIs" dxfId="28" priority="3" operator="between">
      <formula>122</formula>
      <formula>125</formula>
    </cfRule>
    <cfRule type="cellIs" dxfId="27" priority="4" operator="lessThan">
      <formula>122</formula>
    </cfRule>
  </conditionalFormatting>
  <conditionalFormatting sqref="F14:F18">
    <cfRule type="containsText" dxfId="26" priority="5" operator="containsText" text="OVER">
      <formula>NOT(ISERROR(SEARCH("OVER",F14)))</formula>
    </cfRule>
    <cfRule type="containsText" dxfId="25" priority="6" operator="containsText" text="OK">
      <formula>NOT(ISERROR(SEARCH("OK",F14)))</formula>
    </cfRule>
  </conditionalFormatting>
  <conditionalFormatting sqref="D22:D26">
    <cfRule type="cellIs" dxfId="24" priority="7" operator="greaterThan">
      <formula>40</formula>
    </cfRule>
    <cfRule type="cellIs" dxfId="23" priority="8" operator="between">
      <formula>37</formula>
      <formula>40</formula>
    </cfRule>
    <cfRule type="cellIs" dxfId="22" priority="9" operator="lessThan">
      <formula>37</formula>
    </cfRule>
  </conditionalFormatting>
  <conditionalFormatting sqref="F22:F26">
    <cfRule type="containsText" dxfId="21" priority="10" operator="containsText" text="OVER">
      <formula>NOT(ISERROR(SEARCH("OVER",F22)))</formula>
    </cfRule>
    <cfRule type="containsText" dxfId="20" priority="11" operator="containsText" text="OK">
      <formula>NOT(ISERROR(SEARCH("OK",F22)))</formula>
    </cfRule>
  </conditionalFormatting>
  <conditionalFormatting sqref="D30:D34">
    <cfRule type="cellIs" dxfId="19" priority="12" operator="greaterThan">
      <formula>30</formula>
    </cfRule>
    <cfRule type="cellIs" dxfId="18" priority="13" operator="between">
      <formula>27</formula>
      <formula>30</formula>
    </cfRule>
    <cfRule type="cellIs" dxfId="17" priority="14" operator="lessThan">
      <formula>27</formula>
    </cfRule>
  </conditionalFormatting>
  <conditionalFormatting sqref="F30:F34">
    <cfRule type="containsText" dxfId="16" priority="15" operator="containsText" text="OVER">
      <formula>NOT(ISERROR(SEARCH("OVER",F30)))</formula>
    </cfRule>
    <cfRule type="containsText" dxfId="15" priority="16" operator="containsText" text="OK">
      <formula>NOT(ISERROR(SEARCH("OK",F30)))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8D4"/>
  </sheetPr>
  <dimension ref="A1:L34"/>
  <sheetViews>
    <sheetView showGridLines="0" zoomScaleNormal="100" workbookViewId="0">
      <selection activeCell="A11" sqref="A11:F11"/>
    </sheetView>
  </sheetViews>
  <sheetFormatPr defaultColWidth="8.7109375" defaultRowHeight="15" x14ac:dyDescent="0.25"/>
  <cols>
    <col min="1" max="1" width="4" style="1" customWidth="1"/>
    <col min="2" max="2" width="8" style="1" customWidth="1"/>
    <col min="3" max="3" width="52" style="1" customWidth="1"/>
    <col min="4" max="4" width="7" style="1" customWidth="1"/>
    <col min="5" max="5" width="6" style="1" customWidth="1"/>
    <col min="6" max="6" width="18.85546875" style="1" customWidth="1"/>
    <col min="7" max="7" width="3" style="1" customWidth="1"/>
    <col min="8" max="8" width="6" style="1" customWidth="1"/>
    <col min="9" max="9" width="50" style="1" customWidth="1"/>
    <col min="10" max="10" width="7" style="1" customWidth="1"/>
    <col min="11" max="11" width="6" style="1" customWidth="1"/>
    <col min="12" max="12" width="14" style="1" customWidth="1"/>
  </cols>
  <sheetData>
    <row r="1" spans="1:12" ht="33.75" customHeight="1" x14ac:dyDescent="0.25">
      <c r="A1" s="102" t="s">
        <v>507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</row>
    <row r="2" spans="1:12" ht="18" customHeight="1" x14ac:dyDescent="0.25">
      <c r="A2" s="101" t="s">
        <v>508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</row>
    <row r="3" spans="1:12" ht="7.5" customHeight="1" x14ac:dyDescent="0.25"/>
    <row r="4" spans="1:12" ht="21.75" customHeight="1" x14ac:dyDescent="0.25">
      <c r="A4" s="96" t="s">
        <v>509</v>
      </c>
      <c r="B4" s="96"/>
      <c r="C4" s="96"/>
      <c r="D4" s="96"/>
      <c r="E4" s="96"/>
      <c r="F4" s="96"/>
    </row>
    <row r="5" spans="1:12" ht="21.75" customHeight="1" x14ac:dyDescent="0.25">
      <c r="A5" s="3">
        <v>1</v>
      </c>
      <c r="B5" s="136" t="s">
        <v>88</v>
      </c>
      <c r="C5" s="136"/>
      <c r="D5" s="118" t="s">
        <v>510</v>
      </c>
      <c r="E5" s="118"/>
      <c r="F5" s="118"/>
    </row>
    <row r="6" spans="1:12" ht="21.75" customHeight="1" x14ac:dyDescent="0.25">
      <c r="A6" s="6">
        <v>2</v>
      </c>
      <c r="B6" s="104" t="s">
        <v>511</v>
      </c>
      <c r="C6" s="104"/>
      <c r="D6" s="118" t="s">
        <v>102</v>
      </c>
      <c r="E6" s="118"/>
      <c r="F6" s="118"/>
    </row>
    <row r="7" spans="1:12" ht="21.75" customHeight="1" x14ac:dyDescent="0.25">
      <c r="A7" s="3">
        <v>3</v>
      </c>
      <c r="B7" s="136" t="s">
        <v>189</v>
      </c>
      <c r="C7" s="136"/>
      <c r="D7" s="118" t="s">
        <v>190</v>
      </c>
      <c r="E7" s="118"/>
      <c r="F7" s="118"/>
    </row>
    <row r="8" spans="1:12" ht="21.75" customHeight="1" x14ac:dyDescent="0.25">
      <c r="A8" s="6">
        <v>4</v>
      </c>
      <c r="B8" s="104" t="s">
        <v>512</v>
      </c>
      <c r="C8" s="104"/>
      <c r="D8" s="118" t="s">
        <v>192</v>
      </c>
      <c r="E8" s="118"/>
      <c r="F8" s="118"/>
    </row>
    <row r="9" spans="1:12" ht="21.75" customHeight="1" x14ac:dyDescent="0.25">
      <c r="A9" s="3">
        <v>5</v>
      </c>
      <c r="B9" s="136" t="s">
        <v>513</v>
      </c>
      <c r="C9" s="136"/>
      <c r="D9" s="118" t="s">
        <v>514</v>
      </c>
      <c r="E9" s="118"/>
      <c r="F9" s="118"/>
    </row>
    <row r="11" spans="1:12" ht="21.75" customHeight="1" x14ac:dyDescent="0.25">
      <c r="A11" s="143" t="s">
        <v>515</v>
      </c>
      <c r="B11" s="143"/>
      <c r="C11" s="143"/>
      <c r="D11" s="143"/>
      <c r="E11" s="143"/>
      <c r="F11" s="143"/>
      <c r="H11" s="144" t="s">
        <v>516</v>
      </c>
      <c r="I11" s="144"/>
      <c r="J11" s="144"/>
      <c r="K11" s="144"/>
      <c r="L11" s="144"/>
    </row>
    <row r="12" spans="1:12" ht="18" customHeight="1" x14ac:dyDescent="0.25">
      <c r="A12" s="55" t="s">
        <v>85</v>
      </c>
      <c r="B12" s="55" t="s">
        <v>196</v>
      </c>
      <c r="C12" s="55" t="s">
        <v>517</v>
      </c>
      <c r="D12" s="55" t="s">
        <v>198</v>
      </c>
      <c r="E12" s="55" t="s">
        <v>199</v>
      </c>
      <c r="F12" s="55" t="s">
        <v>96</v>
      </c>
      <c r="H12" s="139" t="s">
        <v>518</v>
      </c>
      <c r="I12" s="139"/>
      <c r="J12" s="139"/>
      <c r="K12" s="139"/>
      <c r="L12" s="139"/>
    </row>
    <row r="13" spans="1:12" x14ac:dyDescent="0.25">
      <c r="A13" s="3">
        <v>1</v>
      </c>
      <c r="B13" s="17" t="s">
        <v>202</v>
      </c>
      <c r="C13" s="5" t="s">
        <v>203</v>
      </c>
      <c r="D13" s="18">
        <f t="shared" ref="D13:D27" si="0">LEN(C13)</f>
        <v>28</v>
      </c>
      <c r="E13" s="3">
        <v>30</v>
      </c>
      <c r="F13" s="19" t="str">
        <f t="shared" ref="F13:F27" si="1">IF(C13="","—",IF(LEN(C13)&lt;=30,"✓ OK","✗ "&amp;(LEN(C13)-30)&amp;" over"))</f>
        <v>✓ OK</v>
      </c>
    </row>
    <row r="14" spans="1:12" ht="18" customHeight="1" x14ac:dyDescent="0.25">
      <c r="A14" s="6">
        <v>2</v>
      </c>
      <c r="B14" s="56" t="s">
        <v>206</v>
      </c>
      <c r="C14" s="7" t="s">
        <v>207</v>
      </c>
      <c r="D14" s="27">
        <f t="shared" si="0"/>
        <v>18</v>
      </c>
      <c r="E14" s="6">
        <v>30</v>
      </c>
      <c r="F14" s="28" t="str">
        <f t="shared" si="1"/>
        <v>✓ OK</v>
      </c>
      <c r="H14" s="120" t="s">
        <v>519</v>
      </c>
      <c r="I14" s="120"/>
      <c r="J14" s="120"/>
      <c r="K14" s="120"/>
      <c r="L14" s="120"/>
    </row>
    <row r="15" spans="1:12" ht="25.5" customHeight="1" x14ac:dyDescent="0.25">
      <c r="A15" s="3">
        <v>3</v>
      </c>
      <c r="B15" s="17" t="s">
        <v>202</v>
      </c>
      <c r="C15" s="5" t="s">
        <v>210</v>
      </c>
      <c r="D15" s="18">
        <f t="shared" si="0"/>
        <v>28</v>
      </c>
      <c r="E15" s="3">
        <v>30</v>
      </c>
      <c r="F15" s="19" t="str">
        <f t="shared" si="1"/>
        <v>✓ OK</v>
      </c>
      <c r="H15" s="140" t="str">
        <f>IF(C13="","[HL1]",C13)&amp;" | "&amp;IF(C14="","[HL2]",C14)&amp;" | "&amp;IF(C15="","[HL3]",C15)</f>
        <v>Looking For A Personal Loan? | LAMF @ 10.5%* p.a. | Smarter Than A Personal Loan</v>
      </c>
      <c r="I15" s="140"/>
      <c r="J15" s="140"/>
      <c r="K15" s="140"/>
      <c r="L15" s="140"/>
    </row>
    <row r="16" spans="1:12" ht="21.75" customHeight="1" x14ac:dyDescent="0.25">
      <c r="A16" s="6">
        <v>4</v>
      </c>
      <c r="B16" s="26" t="s">
        <v>202</v>
      </c>
      <c r="C16" s="8" t="s">
        <v>213</v>
      </c>
      <c r="D16" s="27">
        <f t="shared" si="0"/>
        <v>28</v>
      </c>
      <c r="E16" s="6">
        <v>30</v>
      </c>
      <c r="F16" s="28" t="str">
        <f t="shared" si="1"/>
        <v>✓ OK</v>
      </c>
      <c r="H16" s="141" t="str">
        <f>IF(C31="","[Description 1]",C31)&amp;" "&amp;IF(C32="","",C32)</f>
        <v>Skip the personal loan. Pledge your MF units &amp; get funds at 10.5%* p.a. Stay invested. MF units lien-marked, not sold. Your portfolio grows while you access the cash you need.</v>
      </c>
      <c r="I16" s="141"/>
      <c r="J16" s="141"/>
      <c r="K16" s="141"/>
      <c r="L16" s="141"/>
    </row>
    <row r="17" spans="1:12" ht="21.75" customHeight="1" x14ac:dyDescent="0.25">
      <c r="A17" s="3">
        <v>5</v>
      </c>
      <c r="B17" s="17" t="s">
        <v>202</v>
      </c>
      <c r="C17" s="5" t="s">
        <v>217</v>
      </c>
      <c r="D17" s="18">
        <f t="shared" si="0"/>
        <v>20</v>
      </c>
      <c r="E17" s="3">
        <v>30</v>
      </c>
      <c r="F17" s="19" t="str">
        <f t="shared" si="1"/>
        <v>✓ OK</v>
      </c>
      <c r="H17" s="141"/>
      <c r="I17" s="141"/>
      <c r="J17" s="141"/>
      <c r="K17" s="141"/>
      <c r="L17" s="141"/>
    </row>
    <row r="18" spans="1:12" ht="27.75" customHeight="1" x14ac:dyDescent="0.25">
      <c r="A18" s="6">
        <v>6</v>
      </c>
      <c r="B18" s="26" t="s">
        <v>202</v>
      </c>
      <c r="C18" s="8" t="s">
        <v>218</v>
      </c>
      <c r="D18" s="27">
        <f t="shared" si="0"/>
        <v>25</v>
      </c>
      <c r="E18" s="6">
        <v>30</v>
      </c>
      <c r="F18" s="28" t="str">
        <f t="shared" si="1"/>
        <v>✓ OK</v>
      </c>
    </row>
    <row r="19" spans="1:12" ht="24" customHeight="1" x14ac:dyDescent="0.25">
      <c r="A19" s="3">
        <v>7</v>
      </c>
      <c r="B19" s="17" t="s">
        <v>202</v>
      </c>
      <c r="C19" s="5" t="s">
        <v>790</v>
      </c>
      <c r="D19" s="18">
        <f t="shared" si="0"/>
        <v>22</v>
      </c>
      <c r="E19" s="3">
        <v>30</v>
      </c>
      <c r="F19" s="19" t="str">
        <f t="shared" si="1"/>
        <v>✓ OK</v>
      </c>
      <c r="H19" s="142" t="s">
        <v>520</v>
      </c>
      <c r="I19" s="142"/>
      <c r="J19" s="142"/>
      <c r="K19" s="142"/>
      <c r="L19" s="142"/>
    </row>
    <row r="20" spans="1:12" ht="27.75" customHeight="1" x14ac:dyDescent="0.25">
      <c r="A20" s="6">
        <v>8</v>
      </c>
      <c r="B20" s="26" t="s">
        <v>202</v>
      </c>
      <c r="C20" s="8" t="s">
        <v>216</v>
      </c>
      <c r="D20" s="27">
        <f t="shared" si="0"/>
        <v>25</v>
      </c>
      <c r="E20" s="6">
        <v>30</v>
      </c>
      <c r="F20" s="28" t="str">
        <f t="shared" si="1"/>
        <v>✓ OK</v>
      </c>
    </row>
    <row r="21" spans="1:12" ht="27.75" customHeight="1" x14ac:dyDescent="0.25">
      <c r="A21" s="3">
        <v>9</v>
      </c>
      <c r="B21" s="17" t="s">
        <v>202</v>
      </c>
      <c r="C21" s="5" t="s">
        <v>221</v>
      </c>
      <c r="D21" s="18">
        <f t="shared" si="0"/>
        <v>28</v>
      </c>
      <c r="E21" s="3">
        <v>30</v>
      </c>
      <c r="F21" s="19" t="str">
        <f t="shared" si="1"/>
        <v>✓ OK</v>
      </c>
    </row>
    <row r="22" spans="1:12" ht="27.75" customHeight="1" x14ac:dyDescent="0.25">
      <c r="A22" s="6">
        <v>10</v>
      </c>
      <c r="B22" s="56" t="s">
        <v>222</v>
      </c>
      <c r="C22" s="8" t="s">
        <v>223</v>
      </c>
      <c r="D22" s="27">
        <f t="shared" si="0"/>
        <v>26</v>
      </c>
      <c r="E22" s="6">
        <v>30</v>
      </c>
      <c r="F22" s="28" t="str">
        <f t="shared" si="1"/>
        <v>✓ OK</v>
      </c>
    </row>
    <row r="23" spans="1:12" ht="27.75" customHeight="1" x14ac:dyDescent="0.25">
      <c r="A23" s="3">
        <v>11</v>
      </c>
      <c r="B23" s="17" t="s">
        <v>202</v>
      </c>
      <c r="C23" s="5" t="s">
        <v>224</v>
      </c>
      <c r="D23" s="18">
        <f t="shared" si="0"/>
        <v>21</v>
      </c>
      <c r="E23" s="3">
        <v>30</v>
      </c>
      <c r="F23" s="19" t="str">
        <f t="shared" si="1"/>
        <v>✓ OK</v>
      </c>
    </row>
    <row r="24" spans="1:12" ht="27.75" customHeight="1" x14ac:dyDescent="0.25">
      <c r="A24" s="6">
        <v>12</v>
      </c>
      <c r="B24" s="26" t="s">
        <v>202</v>
      </c>
      <c r="C24" s="8" t="s">
        <v>225</v>
      </c>
      <c r="D24" s="27">
        <f t="shared" si="0"/>
        <v>23</v>
      </c>
      <c r="E24" s="6">
        <v>30</v>
      </c>
      <c r="F24" s="28" t="str">
        <f t="shared" si="1"/>
        <v>✓ OK</v>
      </c>
    </row>
    <row r="25" spans="1:12" ht="27.75" customHeight="1" x14ac:dyDescent="0.25">
      <c r="A25" s="3">
        <v>13</v>
      </c>
      <c r="B25" s="17" t="s">
        <v>202</v>
      </c>
      <c r="C25" s="5" t="s">
        <v>226</v>
      </c>
      <c r="D25" s="18">
        <f t="shared" si="0"/>
        <v>27</v>
      </c>
      <c r="E25" s="3">
        <v>30</v>
      </c>
      <c r="F25" s="19" t="str">
        <f t="shared" si="1"/>
        <v>✓ OK</v>
      </c>
    </row>
    <row r="26" spans="1:12" ht="27.75" customHeight="1" x14ac:dyDescent="0.25">
      <c r="A26" s="6">
        <v>14</v>
      </c>
      <c r="B26" s="26" t="s">
        <v>202</v>
      </c>
      <c r="C26" s="8" t="s">
        <v>228</v>
      </c>
      <c r="D26" s="27">
        <f t="shared" si="0"/>
        <v>29</v>
      </c>
      <c r="E26" s="6">
        <v>30</v>
      </c>
      <c r="F26" s="28" t="str">
        <f t="shared" si="1"/>
        <v>✓ OK</v>
      </c>
    </row>
    <row r="27" spans="1:12" ht="27.75" customHeight="1" x14ac:dyDescent="0.25">
      <c r="A27" s="3">
        <v>15</v>
      </c>
      <c r="B27" s="17" t="s">
        <v>202</v>
      </c>
      <c r="C27" s="5" t="s">
        <v>233</v>
      </c>
      <c r="D27" s="18">
        <f t="shared" si="0"/>
        <v>24</v>
      </c>
      <c r="E27" s="3">
        <v>30</v>
      </c>
      <c r="F27" s="19" t="str">
        <f t="shared" si="1"/>
        <v>✓ OK</v>
      </c>
    </row>
    <row r="28" spans="1:12" ht="7.5" customHeight="1" x14ac:dyDescent="0.25"/>
    <row r="29" spans="1:12" ht="21.75" customHeight="1" x14ac:dyDescent="0.25">
      <c r="A29" s="143" t="s">
        <v>521</v>
      </c>
      <c r="B29" s="143"/>
      <c r="C29" s="143"/>
      <c r="D29" s="143"/>
      <c r="E29" s="143"/>
      <c r="F29" s="143"/>
    </row>
    <row r="30" spans="1:12" ht="36" customHeight="1" x14ac:dyDescent="0.25">
      <c r="A30" s="55" t="s">
        <v>85</v>
      </c>
      <c r="B30" s="55" t="s">
        <v>196</v>
      </c>
      <c r="C30" s="55" t="s">
        <v>522</v>
      </c>
      <c r="D30" s="55" t="s">
        <v>198</v>
      </c>
      <c r="E30" s="55" t="s">
        <v>199</v>
      </c>
      <c r="F30" s="55" t="s">
        <v>96</v>
      </c>
    </row>
    <row r="31" spans="1:12" ht="48" customHeight="1" x14ac:dyDescent="0.25">
      <c r="A31" s="20">
        <v>1</v>
      </c>
      <c r="B31" s="21" t="s">
        <v>252</v>
      </c>
      <c r="C31" s="36" t="s">
        <v>253</v>
      </c>
      <c r="D31" s="23">
        <f>LEN(C31)</f>
        <v>86</v>
      </c>
      <c r="E31" s="20">
        <v>90</v>
      </c>
      <c r="F31" s="25" t="str">
        <f>IF(C31="","—",IF(LEN(C31)&lt;=90,"✓ OK","✗ "&amp;(LEN(C31)-90)&amp;" over"))</f>
        <v>✓ OK</v>
      </c>
    </row>
    <row r="32" spans="1:12" ht="48" customHeight="1" x14ac:dyDescent="0.25">
      <c r="A32" s="6">
        <v>2</v>
      </c>
      <c r="B32" s="26" t="s">
        <v>202</v>
      </c>
      <c r="C32" s="36" t="s">
        <v>257</v>
      </c>
      <c r="D32" s="27">
        <f>LEN(C32)</f>
        <v>88</v>
      </c>
      <c r="E32" s="6">
        <v>90</v>
      </c>
      <c r="F32" s="28" t="str">
        <f>IF(C32="","—",IF(LEN(C32)&lt;=90,"✓ OK","✗ "&amp;(LEN(C32)-90)&amp;" over"))</f>
        <v>✓ OK</v>
      </c>
    </row>
    <row r="33" spans="1:6" ht="48" customHeight="1" x14ac:dyDescent="0.25">
      <c r="A33" s="3">
        <v>3</v>
      </c>
      <c r="B33" s="17" t="s">
        <v>202</v>
      </c>
      <c r="C33" s="36" t="s">
        <v>258</v>
      </c>
      <c r="D33" s="18">
        <f>LEN(C33)</f>
        <v>90</v>
      </c>
      <c r="E33" s="3">
        <v>90</v>
      </c>
      <c r="F33" s="19" t="str">
        <f>IF(C33="","—",IF(LEN(C33)&lt;=90,"✓ OK","✗ "&amp;(LEN(C33)-90)&amp;" over"))</f>
        <v>✓ OK</v>
      </c>
    </row>
    <row r="34" spans="1:6" ht="48" customHeight="1" x14ac:dyDescent="0.25">
      <c r="A34" s="20">
        <v>4</v>
      </c>
      <c r="B34" s="21" t="s">
        <v>206</v>
      </c>
      <c r="C34" s="36" t="s">
        <v>260</v>
      </c>
      <c r="D34" s="23">
        <f>LEN(C34)</f>
        <v>89</v>
      </c>
      <c r="E34" s="20">
        <v>90</v>
      </c>
      <c r="F34" s="25" t="str">
        <f>IF(C34="","—",IF(LEN(C34)&lt;=90,"✓ OK","✗ "&amp;(LEN(C34)-90)&amp;" over"))</f>
        <v>✓ OK</v>
      </c>
    </row>
  </sheetData>
  <mergeCells count="21">
    <mergeCell ref="A1:L1"/>
    <mergeCell ref="A2:L2"/>
    <mergeCell ref="A4:F4"/>
    <mergeCell ref="B5:C5"/>
    <mergeCell ref="D5:F5"/>
    <mergeCell ref="B6:C6"/>
    <mergeCell ref="D6:F6"/>
    <mergeCell ref="B7:C7"/>
    <mergeCell ref="D7:F7"/>
    <mergeCell ref="B8:C8"/>
    <mergeCell ref="D8:F8"/>
    <mergeCell ref="B9:C9"/>
    <mergeCell ref="D9:F9"/>
    <mergeCell ref="A11:F11"/>
    <mergeCell ref="H11:L11"/>
    <mergeCell ref="H12:L12"/>
    <mergeCell ref="H14:L14"/>
    <mergeCell ref="H15:L15"/>
    <mergeCell ref="H16:L17"/>
    <mergeCell ref="H19:L19"/>
    <mergeCell ref="A29:F29"/>
  </mergeCells>
  <conditionalFormatting sqref="D13:D27">
    <cfRule type="cellIs" dxfId="14" priority="2" operator="greaterThan">
      <formula>30</formula>
    </cfRule>
    <cfRule type="cellIs" dxfId="13" priority="3" operator="between">
      <formula>27</formula>
      <formula>30</formula>
    </cfRule>
    <cfRule type="cellIs" dxfId="12" priority="4" operator="lessThan">
      <formula>27</formula>
    </cfRule>
  </conditionalFormatting>
  <conditionalFormatting sqref="F13:F27">
    <cfRule type="containsText" dxfId="11" priority="5" operator="containsText" text="OVER">
      <formula>NOT(ISERROR(SEARCH("OVER",F13)))</formula>
    </cfRule>
    <cfRule type="containsText" dxfId="10" priority="6" operator="containsText" text="OK">
      <formula>NOT(ISERROR(SEARCH("OK",F13)))</formula>
    </cfRule>
  </conditionalFormatting>
  <conditionalFormatting sqref="D31:D34">
    <cfRule type="cellIs" dxfId="9" priority="7" operator="greaterThan">
      <formula>90</formula>
    </cfRule>
    <cfRule type="cellIs" dxfId="8" priority="8" operator="between">
      <formula>87</formula>
      <formula>90</formula>
    </cfRule>
    <cfRule type="cellIs" dxfId="7" priority="9" operator="lessThan">
      <formula>87</formula>
    </cfRule>
  </conditionalFormatting>
  <conditionalFormatting sqref="F31:F34">
    <cfRule type="containsText" dxfId="6" priority="10" operator="containsText" text="OVER">
      <formula>NOT(ISERROR(SEARCH("OVER",F31)))</formula>
    </cfRule>
    <cfRule type="containsText" dxfId="5" priority="11" operator="containsText" text="OK">
      <formula>NOT(ISERROR(SEARCH("OK",F31)))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H55"/>
  <sheetViews>
    <sheetView showGridLines="0" zoomScaleNormal="100" workbookViewId="0">
      <selection activeCell="D10" sqref="D10"/>
    </sheetView>
  </sheetViews>
  <sheetFormatPr defaultColWidth="8.7109375" defaultRowHeight="15" x14ac:dyDescent="0.25"/>
  <cols>
    <col min="1" max="1" width="35.5703125" style="1" customWidth="1"/>
    <col min="2" max="2" width="18" style="1" customWidth="1"/>
    <col min="3" max="3" width="17.140625" style="1" customWidth="1"/>
    <col min="4" max="5" width="10" style="1" customWidth="1"/>
    <col min="6" max="6" width="12" style="1" customWidth="1"/>
    <col min="7" max="7" width="50.85546875" style="1" customWidth="1"/>
    <col min="8" max="8" width="4" style="1" customWidth="1"/>
  </cols>
  <sheetData>
    <row r="1" spans="1:8" ht="33.75" customHeight="1" x14ac:dyDescent="0.25">
      <c r="A1" s="102" t="s">
        <v>523</v>
      </c>
      <c r="B1" s="102"/>
      <c r="C1" s="102"/>
      <c r="D1" s="102"/>
      <c r="E1" s="102"/>
      <c r="F1" s="102"/>
      <c r="G1" s="102"/>
      <c r="H1" s="102"/>
    </row>
    <row r="2" spans="1:8" ht="18" customHeight="1" x14ac:dyDescent="0.25">
      <c r="A2" s="101" t="s">
        <v>524</v>
      </c>
      <c r="B2" s="101"/>
      <c r="C2" s="101"/>
      <c r="D2" s="101"/>
      <c r="E2" s="101"/>
      <c r="F2" s="101"/>
      <c r="G2" s="101"/>
      <c r="H2" s="101"/>
    </row>
    <row r="3" spans="1:8" ht="7.5" customHeight="1" x14ac:dyDescent="0.25"/>
    <row r="4" spans="1:8" ht="24" customHeight="1" x14ac:dyDescent="0.25">
      <c r="A4" s="150" t="s">
        <v>525</v>
      </c>
      <c r="B4" s="150"/>
      <c r="C4" s="151" t="s">
        <v>168</v>
      </c>
      <c r="D4" s="151"/>
    </row>
    <row r="5" spans="1:8" ht="15.75" customHeight="1" x14ac:dyDescent="0.25">
      <c r="A5" s="152" t="s">
        <v>526</v>
      </c>
      <c r="B5" s="152"/>
      <c r="C5" s="152" t="s">
        <v>527</v>
      </c>
      <c r="D5" s="152"/>
      <c r="E5" s="152"/>
      <c r="F5" s="152"/>
      <c r="G5" s="152"/>
      <c r="H5" s="152"/>
    </row>
    <row r="6" spans="1:8" ht="7.5" customHeight="1" x14ac:dyDescent="0.25"/>
    <row r="7" spans="1:8" ht="21.75" customHeight="1" x14ac:dyDescent="0.25">
      <c r="A7" s="96" t="s">
        <v>528</v>
      </c>
      <c r="B7" s="96"/>
      <c r="C7" s="96"/>
      <c r="D7" s="96"/>
      <c r="E7" s="96"/>
      <c r="F7" s="96"/>
      <c r="G7" s="96"/>
      <c r="H7" s="96"/>
    </row>
    <row r="8" spans="1:8" ht="39.75" customHeight="1" x14ac:dyDescent="0.25">
      <c r="A8" s="13" t="s">
        <v>86</v>
      </c>
      <c r="B8" s="13" t="s">
        <v>87</v>
      </c>
      <c r="C8" s="13" t="s">
        <v>475</v>
      </c>
      <c r="D8" s="13" t="s">
        <v>529</v>
      </c>
      <c r="E8" s="13" t="s">
        <v>530</v>
      </c>
      <c r="F8" s="13" t="s">
        <v>531</v>
      </c>
      <c r="G8" s="13" t="s">
        <v>532</v>
      </c>
    </row>
    <row r="9" spans="1:8" ht="27.75" customHeight="1" x14ac:dyDescent="0.25">
      <c r="A9" s="57" t="s">
        <v>99</v>
      </c>
      <c r="B9" s="58" t="s">
        <v>100</v>
      </c>
      <c r="C9" s="59" t="s">
        <v>484</v>
      </c>
      <c r="D9" s="59">
        <v>3</v>
      </c>
      <c r="E9" s="59">
        <v>15</v>
      </c>
      <c r="F9" s="59">
        <v>30</v>
      </c>
      <c r="G9" s="58" t="s">
        <v>533</v>
      </c>
    </row>
    <row r="10" spans="1:8" ht="27.75" customHeight="1" x14ac:dyDescent="0.25">
      <c r="A10" s="57" t="s">
        <v>99</v>
      </c>
      <c r="B10" s="58" t="s">
        <v>100</v>
      </c>
      <c r="C10" s="59" t="s">
        <v>534</v>
      </c>
      <c r="D10" s="59">
        <v>1</v>
      </c>
      <c r="E10" s="59">
        <v>4</v>
      </c>
      <c r="F10" s="59">
        <v>90</v>
      </c>
      <c r="G10" s="58" t="s">
        <v>535</v>
      </c>
    </row>
    <row r="11" spans="1:8" ht="27.75" customHeight="1" x14ac:dyDescent="0.25">
      <c r="A11" s="57" t="s">
        <v>99</v>
      </c>
      <c r="B11" s="58" t="s">
        <v>100</v>
      </c>
      <c r="C11" s="59" t="s">
        <v>243</v>
      </c>
      <c r="D11" s="59">
        <v>0</v>
      </c>
      <c r="E11" s="59">
        <v>2</v>
      </c>
      <c r="F11" s="59">
        <v>15</v>
      </c>
      <c r="G11" s="58" t="s">
        <v>536</v>
      </c>
    </row>
    <row r="12" spans="1:8" ht="27.75" customHeight="1" x14ac:dyDescent="0.25">
      <c r="A12" s="57" t="s">
        <v>99</v>
      </c>
      <c r="B12" s="58" t="s">
        <v>100</v>
      </c>
      <c r="C12" s="59" t="s">
        <v>248</v>
      </c>
      <c r="D12" s="59">
        <v>4</v>
      </c>
      <c r="E12" s="59">
        <v>20</v>
      </c>
      <c r="F12" s="59">
        <v>25</v>
      </c>
      <c r="G12" s="58" t="s">
        <v>537</v>
      </c>
    </row>
    <row r="13" spans="1:8" ht="27.75" customHeight="1" x14ac:dyDescent="0.25">
      <c r="A13" s="57" t="s">
        <v>99</v>
      </c>
      <c r="B13" s="58" t="s">
        <v>100</v>
      </c>
      <c r="C13" s="59" t="s">
        <v>538</v>
      </c>
      <c r="D13" s="59">
        <v>0</v>
      </c>
      <c r="E13" s="59">
        <v>2</v>
      </c>
      <c r="F13" s="59">
        <v>35</v>
      </c>
      <c r="G13" s="58" t="s">
        <v>539</v>
      </c>
    </row>
    <row r="14" spans="1:8" ht="27.75" customHeight="1" x14ac:dyDescent="0.25">
      <c r="A14" s="57" t="s">
        <v>99</v>
      </c>
      <c r="B14" s="58" t="s">
        <v>100</v>
      </c>
      <c r="C14" s="59" t="s">
        <v>254</v>
      </c>
      <c r="D14" s="59">
        <v>4</v>
      </c>
      <c r="E14" s="59">
        <v>20</v>
      </c>
      <c r="F14" s="59">
        <v>25</v>
      </c>
      <c r="G14" s="58" t="s">
        <v>540</v>
      </c>
    </row>
    <row r="15" spans="1:8" ht="27.75" customHeight="1" x14ac:dyDescent="0.25">
      <c r="A15" s="57" t="s">
        <v>99</v>
      </c>
      <c r="B15" s="58" t="s">
        <v>100</v>
      </c>
      <c r="C15" s="59" t="s">
        <v>541</v>
      </c>
      <c r="D15" s="59">
        <v>1</v>
      </c>
      <c r="E15" s="59">
        <v>999</v>
      </c>
      <c r="F15" s="59">
        <v>25</v>
      </c>
      <c r="G15" s="58" t="s">
        <v>542</v>
      </c>
    </row>
    <row r="16" spans="1:8" ht="27.75" customHeight="1" x14ac:dyDescent="0.25">
      <c r="A16" s="60" t="s">
        <v>127</v>
      </c>
      <c r="B16" s="61" t="s">
        <v>128</v>
      </c>
      <c r="C16" s="62" t="s">
        <v>543</v>
      </c>
      <c r="D16" s="62">
        <v>5</v>
      </c>
      <c r="E16" s="62">
        <v>15</v>
      </c>
      <c r="F16" s="62">
        <v>30</v>
      </c>
      <c r="G16" s="61" t="s">
        <v>544</v>
      </c>
    </row>
    <row r="17" spans="1:7" ht="27.75" customHeight="1" x14ac:dyDescent="0.25">
      <c r="A17" s="60" t="s">
        <v>127</v>
      </c>
      <c r="B17" s="61" t="s">
        <v>128</v>
      </c>
      <c r="C17" s="62" t="s">
        <v>545</v>
      </c>
      <c r="D17" s="62">
        <v>1</v>
      </c>
      <c r="E17" s="62">
        <v>5</v>
      </c>
      <c r="F17" s="62">
        <v>90</v>
      </c>
      <c r="G17" s="61" t="s">
        <v>546</v>
      </c>
    </row>
    <row r="18" spans="1:7" ht="27.75" customHeight="1" x14ac:dyDescent="0.25">
      <c r="A18" s="60" t="s">
        <v>127</v>
      </c>
      <c r="B18" s="61" t="s">
        <v>128</v>
      </c>
      <c r="C18" s="62" t="s">
        <v>534</v>
      </c>
      <c r="D18" s="62">
        <v>2</v>
      </c>
      <c r="E18" s="62">
        <v>5</v>
      </c>
      <c r="F18" s="62">
        <v>90</v>
      </c>
      <c r="G18" s="61" t="s">
        <v>547</v>
      </c>
    </row>
    <row r="19" spans="1:7" ht="27.75" customHeight="1" x14ac:dyDescent="0.25">
      <c r="A19" s="60" t="s">
        <v>127</v>
      </c>
      <c r="B19" s="61" t="s">
        <v>128</v>
      </c>
      <c r="C19" s="62" t="s">
        <v>407</v>
      </c>
      <c r="D19" s="62">
        <v>1</v>
      </c>
      <c r="E19" s="62">
        <v>1</v>
      </c>
      <c r="F19" s="62">
        <v>25</v>
      </c>
      <c r="G19" s="61" t="s">
        <v>548</v>
      </c>
    </row>
    <row r="20" spans="1:7" ht="27.75" customHeight="1" x14ac:dyDescent="0.25">
      <c r="A20" s="22" t="s">
        <v>133</v>
      </c>
      <c r="B20" s="32" t="s">
        <v>134</v>
      </c>
      <c r="C20" s="63" t="s">
        <v>484</v>
      </c>
      <c r="D20" s="63">
        <v>3</v>
      </c>
      <c r="E20" s="63">
        <v>15</v>
      </c>
      <c r="F20" s="63">
        <v>30</v>
      </c>
      <c r="G20" s="32" t="s">
        <v>549</v>
      </c>
    </row>
    <row r="21" spans="1:7" ht="27.75" customHeight="1" x14ac:dyDescent="0.25">
      <c r="A21" s="22" t="s">
        <v>133</v>
      </c>
      <c r="B21" s="32" t="s">
        <v>134</v>
      </c>
      <c r="C21" s="63" t="s">
        <v>545</v>
      </c>
      <c r="D21" s="63">
        <v>1</v>
      </c>
      <c r="E21" s="63">
        <v>5</v>
      </c>
      <c r="F21" s="63">
        <v>90</v>
      </c>
      <c r="G21" s="32" t="s">
        <v>550</v>
      </c>
    </row>
    <row r="22" spans="1:7" ht="27.75" customHeight="1" x14ac:dyDescent="0.25">
      <c r="A22" s="22" t="s">
        <v>133</v>
      </c>
      <c r="B22" s="32" t="s">
        <v>134</v>
      </c>
      <c r="C22" s="63" t="s">
        <v>534</v>
      </c>
      <c r="D22" s="63">
        <v>2</v>
      </c>
      <c r="E22" s="63">
        <v>5</v>
      </c>
      <c r="F22" s="63">
        <v>90</v>
      </c>
      <c r="G22" s="32" t="s">
        <v>551</v>
      </c>
    </row>
    <row r="23" spans="1:7" ht="27.75" customHeight="1" x14ac:dyDescent="0.25">
      <c r="A23" s="22" t="s">
        <v>133</v>
      </c>
      <c r="B23" s="32" t="s">
        <v>134</v>
      </c>
      <c r="C23" s="63" t="s">
        <v>407</v>
      </c>
      <c r="D23" s="63">
        <v>1</v>
      </c>
      <c r="E23" s="63">
        <v>1</v>
      </c>
      <c r="F23" s="63">
        <v>25</v>
      </c>
      <c r="G23" s="32" t="s">
        <v>552</v>
      </c>
    </row>
    <row r="24" spans="1:7" ht="27.75" customHeight="1" x14ac:dyDescent="0.25">
      <c r="A24" s="22" t="s">
        <v>133</v>
      </c>
      <c r="B24" s="32" t="s">
        <v>134</v>
      </c>
      <c r="C24" s="63" t="s">
        <v>553</v>
      </c>
      <c r="D24" s="63">
        <v>1</v>
      </c>
      <c r="E24" s="63">
        <v>20</v>
      </c>
      <c r="F24" s="63" t="s">
        <v>354</v>
      </c>
      <c r="G24" s="32" t="s">
        <v>554</v>
      </c>
    </row>
    <row r="25" spans="1:7" ht="27.75" customHeight="1" x14ac:dyDescent="0.25">
      <c r="A25" s="22" t="s">
        <v>133</v>
      </c>
      <c r="B25" s="32" t="s">
        <v>134</v>
      </c>
      <c r="C25" s="63" t="s">
        <v>555</v>
      </c>
      <c r="D25" s="63">
        <v>1</v>
      </c>
      <c r="E25" s="63">
        <v>20</v>
      </c>
      <c r="F25" s="63" t="s">
        <v>368</v>
      </c>
      <c r="G25" s="32" t="s">
        <v>556</v>
      </c>
    </row>
    <row r="26" spans="1:7" ht="27.75" customHeight="1" x14ac:dyDescent="0.25">
      <c r="A26" s="64" t="s">
        <v>139</v>
      </c>
      <c r="B26" s="65" t="s">
        <v>140</v>
      </c>
      <c r="C26" s="66" t="s">
        <v>484</v>
      </c>
      <c r="D26" s="66">
        <v>1</v>
      </c>
      <c r="E26" s="66">
        <v>5</v>
      </c>
      <c r="F26" s="66">
        <v>40</v>
      </c>
      <c r="G26" s="65" t="s">
        <v>557</v>
      </c>
    </row>
    <row r="27" spans="1:7" ht="27.75" customHeight="1" x14ac:dyDescent="0.25">
      <c r="A27" s="64" t="s">
        <v>139</v>
      </c>
      <c r="B27" s="65" t="s">
        <v>140</v>
      </c>
      <c r="C27" s="66" t="s">
        <v>534</v>
      </c>
      <c r="D27" s="66">
        <v>1</v>
      </c>
      <c r="E27" s="66">
        <v>5</v>
      </c>
      <c r="F27" s="66">
        <v>90</v>
      </c>
      <c r="G27" s="65" t="s">
        <v>558</v>
      </c>
    </row>
    <row r="28" spans="1:7" ht="27.75" customHeight="1" x14ac:dyDescent="0.25">
      <c r="A28" s="67" t="s">
        <v>146</v>
      </c>
      <c r="B28" s="36" t="s">
        <v>559</v>
      </c>
      <c r="C28" s="15" t="s">
        <v>479</v>
      </c>
      <c r="D28" s="15">
        <v>1</v>
      </c>
      <c r="E28" s="15">
        <v>5</v>
      </c>
      <c r="F28" s="15">
        <v>125</v>
      </c>
      <c r="G28" s="36" t="s">
        <v>560</v>
      </c>
    </row>
    <row r="29" spans="1:7" ht="27.75" customHeight="1" x14ac:dyDescent="0.25">
      <c r="A29" s="67" t="s">
        <v>146</v>
      </c>
      <c r="B29" s="36" t="s">
        <v>559</v>
      </c>
      <c r="C29" s="15" t="s">
        <v>484</v>
      </c>
      <c r="D29" s="15">
        <v>1</v>
      </c>
      <c r="E29" s="15">
        <v>5</v>
      </c>
      <c r="F29" s="15">
        <v>40</v>
      </c>
      <c r="G29" s="36" t="s">
        <v>561</v>
      </c>
    </row>
    <row r="30" spans="1:7" ht="27.75" customHeight="1" x14ac:dyDescent="0.25">
      <c r="A30" s="67" t="s">
        <v>146</v>
      </c>
      <c r="B30" s="36" t="s">
        <v>559</v>
      </c>
      <c r="C30" s="15" t="s">
        <v>488</v>
      </c>
      <c r="D30" s="15">
        <v>0</v>
      </c>
      <c r="E30" s="15">
        <v>1</v>
      </c>
      <c r="F30" s="15">
        <v>30</v>
      </c>
      <c r="G30" s="36" t="s">
        <v>562</v>
      </c>
    </row>
    <row r="31" spans="1:7" ht="27.75" customHeight="1" x14ac:dyDescent="0.25">
      <c r="A31" s="67" t="s">
        <v>146</v>
      </c>
      <c r="B31" s="36" t="s">
        <v>559</v>
      </c>
      <c r="C31" s="15" t="s">
        <v>492</v>
      </c>
      <c r="D31" s="15">
        <v>1</v>
      </c>
      <c r="E31" s="15">
        <v>10</v>
      </c>
      <c r="F31" s="15" t="s">
        <v>354</v>
      </c>
      <c r="G31" s="36" t="s">
        <v>563</v>
      </c>
    </row>
    <row r="32" spans="1:7" ht="27.75" customHeight="1" x14ac:dyDescent="0.25">
      <c r="A32" s="68" t="s">
        <v>162</v>
      </c>
      <c r="B32" s="69" t="s">
        <v>163</v>
      </c>
      <c r="C32" s="70" t="s">
        <v>564</v>
      </c>
      <c r="D32" s="70">
        <v>1</v>
      </c>
      <c r="E32" s="70">
        <v>10</v>
      </c>
      <c r="F32" s="70" t="s">
        <v>565</v>
      </c>
      <c r="G32" s="69" t="s">
        <v>566</v>
      </c>
    </row>
    <row r="33" spans="1:8" ht="27.75" customHeight="1" x14ac:dyDescent="0.25">
      <c r="A33" s="68" t="s">
        <v>162</v>
      </c>
      <c r="B33" s="69" t="s">
        <v>163</v>
      </c>
      <c r="C33" s="70" t="s">
        <v>567</v>
      </c>
      <c r="D33" s="70">
        <v>0</v>
      </c>
      <c r="E33" s="70">
        <v>1</v>
      </c>
      <c r="F33" s="70">
        <v>40</v>
      </c>
      <c r="G33" s="69" t="s">
        <v>568</v>
      </c>
    </row>
    <row r="34" spans="1:8" ht="27.75" customHeight="1" x14ac:dyDescent="0.25">
      <c r="A34" s="71" t="s">
        <v>168</v>
      </c>
      <c r="B34" s="72" t="s">
        <v>100</v>
      </c>
      <c r="C34" s="73" t="s">
        <v>484</v>
      </c>
      <c r="D34" s="73">
        <v>3</v>
      </c>
      <c r="E34" s="73">
        <v>15</v>
      </c>
      <c r="F34" s="73">
        <v>30</v>
      </c>
      <c r="G34" s="72" t="s">
        <v>569</v>
      </c>
    </row>
    <row r="35" spans="1:8" ht="27.75" customHeight="1" x14ac:dyDescent="0.25">
      <c r="A35" s="71" t="s">
        <v>168</v>
      </c>
      <c r="B35" s="72" t="s">
        <v>100</v>
      </c>
      <c r="C35" s="73" t="s">
        <v>534</v>
      </c>
      <c r="D35" s="73">
        <v>2</v>
      </c>
      <c r="E35" s="73">
        <v>4</v>
      </c>
      <c r="F35" s="73">
        <v>90</v>
      </c>
      <c r="G35" s="72" t="s">
        <v>570</v>
      </c>
    </row>
    <row r="36" spans="1:8" ht="27.75" customHeight="1" x14ac:dyDescent="0.25">
      <c r="A36" s="71" t="s">
        <v>168</v>
      </c>
      <c r="B36" s="72" t="s">
        <v>100</v>
      </c>
      <c r="C36" s="73" t="s">
        <v>248</v>
      </c>
      <c r="D36" s="73">
        <v>4</v>
      </c>
      <c r="E36" s="73">
        <v>20</v>
      </c>
      <c r="F36" s="73">
        <v>25</v>
      </c>
      <c r="G36" s="72" t="s">
        <v>571</v>
      </c>
    </row>
    <row r="37" spans="1:8" ht="7.5" customHeight="1" x14ac:dyDescent="0.25"/>
    <row r="38" spans="1:8" ht="21.75" customHeight="1" x14ac:dyDescent="0.25">
      <c r="A38" s="149" t="s">
        <v>572</v>
      </c>
      <c r="B38" s="149"/>
      <c r="C38" s="149"/>
      <c r="D38" s="149"/>
      <c r="E38" s="149"/>
      <c r="F38" s="149"/>
      <c r="G38" s="149"/>
      <c r="H38" s="149"/>
    </row>
    <row r="39" spans="1:8" ht="21.75" customHeight="1" x14ac:dyDescent="0.25">
      <c r="A39" s="13" t="s">
        <v>573</v>
      </c>
      <c r="B39" s="13" t="s">
        <v>574</v>
      </c>
      <c r="C39" s="13" t="s">
        <v>575</v>
      </c>
    </row>
    <row r="40" spans="1:8" ht="27.75" customHeight="1" x14ac:dyDescent="0.25">
      <c r="A40" s="74" t="s">
        <v>576</v>
      </c>
      <c r="B40" s="75" t="s">
        <v>577</v>
      </c>
      <c r="C40" s="148" t="s">
        <v>578</v>
      </c>
      <c r="D40" s="148"/>
      <c r="E40" s="148"/>
      <c r="F40" s="148"/>
      <c r="G40" s="148"/>
      <c r="H40" s="148"/>
    </row>
    <row r="41" spans="1:8" ht="27.75" customHeight="1" x14ac:dyDescent="0.25">
      <c r="A41" s="76" t="s">
        <v>579</v>
      </c>
      <c r="B41" s="77" t="s">
        <v>580</v>
      </c>
      <c r="C41" s="147" t="s">
        <v>581</v>
      </c>
      <c r="D41" s="147"/>
      <c r="E41" s="147"/>
      <c r="F41" s="147"/>
      <c r="G41" s="147"/>
      <c r="H41" s="147"/>
    </row>
    <row r="42" spans="1:8" ht="27.75" customHeight="1" x14ac:dyDescent="0.25">
      <c r="A42" s="74" t="s">
        <v>582</v>
      </c>
      <c r="B42" s="75" t="s">
        <v>583</v>
      </c>
      <c r="C42" s="148" t="s">
        <v>584</v>
      </c>
      <c r="D42" s="148"/>
      <c r="E42" s="148"/>
      <c r="F42" s="148"/>
      <c r="G42" s="148"/>
      <c r="H42" s="148"/>
    </row>
    <row r="43" spans="1:8" ht="27.75" customHeight="1" x14ac:dyDescent="0.25">
      <c r="A43" s="76" t="s">
        <v>585</v>
      </c>
      <c r="B43" s="77" t="s">
        <v>586</v>
      </c>
      <c r="C43" s="147" t="s">
        <v>587</v>
      </c>
      <c r="D43" s="147"/>
      <c r="E43" s="147"/>
      <c r="F43" s="147"/>
      <c r="G43" s="147"/>
      <c r="H43" s="147"/>
    </row>
    <row r="44" spans="1:8" ht="27.75" customHeight="1" x14ac:dyDescent="0.25">
      <c r="A44" s="74" t="s">
        <v>588</v>
      </c>
      <c r="B44" s="75" t="s">
        <v>589</v>
      </c>
      <c r="C44" s="148" t="s">
        <v>792</v>
      </c>
      <c r="D44" s="148"/>
      <c r="E44" s="148"/>
      <c r="F44" s="148"/>
      <c r="G44" s="148"/>
      <c r="H44" s="148"/>
    </row>
    <row r="45" spans="1:8" ht="27.75" customHeight="1" x14ac:dyDescent="0.25">
      <c r="A45" s="76" t="s">
        <v>590</v>
      </c>
      <c r="B45" s="77" t="s">
        <v>591</v>
      </c>
      <c r="C45" s="147" t="s">
        <v>592</v>
      </c>
      <c r="D45" s="147"/>
      <c r="E45" s="147"/>
      <c r="F45" s="147"/>
      <c r="G45" s="147"/>
      <c r="H45" s="147"/>
    </row>
    <row r="46" spans="1:8" ht="27.75" customHeight="1" x14ac:dyDescent="0.25">
      <c r="A46" s="74" t="s">
        <v>593</v>
      </c>
      <c r="B46" s="75" t="s">
        <v>594</v>
      </c>
      <c r="C46" s="148" t="s">
        <v>595</v>
      </c>
      <c r="D46" s="148"/>
      <c r="E46" s="148"/>
      <c r="F46" s="148"/>
      <c r="G46" s="148"/>
      <c r="H46" s="148"/>
    </row>
    <row r="47" spans="1:8" ht="27.75" customHeight="1" x14ac:dyDescent="0.25">
      <c r="A47" s="76" t="s">
        <v>596</v>
      </c>
      <c r="B47" s="77" t="s">
        <v>597</v>
      </c>
      <c r="C47" s="147" t="s">
        <v>598</v>
      </c>
      <c r="D47" s="147"/>
      <c r="E47" s="147"/>
      <c r="F47" s="147"/>
      <c r="G47" s="147"/>
      <c r="H47" s="147"/>
    </row>
    <row r="48" spans="1:8" ht="7.5" customHeight="1" x14ac:dyDescent="0.25"/>
    <row r="49" spans="1:8" ht="21.75" customHeight="1" x14ac:dyDescent="0.25">
      <c r="A49" s="96" t="s">
        <v>599</v>
      </c>
      <c r="B49" s="96"/>
      <c r="C49" s="96"/>
      <c r="D49" s="96"/>
      <c r="E49" s="96"/>
      <c r="F49" s="96"/>
      <c r="G49" s="96"/>
      <c r="H49" s="96"/>
    </row>
    <row r="50" spans="1:8" ht="19.5" customHeight="1" x14ac:dyDescent="0.25">
      <c r="A50" s="4" t="s">
        <v>600</v>
      </c>
      <c r="B50" s="145" t="s">
        <v>601</v>
      </c>
      <c r="C50" s="145"/>
      <c r="D50" s="145"/>
      <c r="E50" s="145"/>
      <c r="F50" s="145"/>
      <c r="G50" s="145"/>
      <c r="H50" s="145"/>
    </row>
    <row r="51" spans="1:8" ht="19.5" customHeight="1" x14ac:dyDescent="0.25">
      <c r="A51" s="7" t="s">
        <v>602</v>
      </c>
      <c r="B51" s="146" t="s">
        <v>603</v>
      </c>
      <c r="C51" s="146"/>
      <c r="D51" s="146"/>
      <c r="E51" s="146"/>
      <c r="F51" s="146"/>
      <c r="G51" s="146"/>
      <c r="H51" s="146"/>
    </row>
    <row r="52" spans="1:8" ht="19.5" customHeight="1" x14ac:dyDescent="0.25">
      <c r="A52" s="4" t="s">
        <v>604</v>
      </c>
      <c r="B52" s="145" t="s">
        <v>605</v>
      </c>
      <c r="C52" s="145"/>
      <c r="D52" s="145"/>
      <c r="E52" s="145"/>
      <c r="F52" s="145"/>
      <c r="G52" s="145"/>
      <c r="H52" s="145"/>
    </row>
    <row r="53" spans="1:8" ht="19.5" customHeight="1" x14ac:dyDescent="0.25">
      <c r="A53" s="7" t="s">
        <v>606</v>
      </c>
      <c r="B53" s="146" t="s">
        <v>607</v>
      </c>
      <c r="C53" s="146"/>
      <c r="D53" s="146"/>
      <c r="E53" s="146"/>
      <c r="F53" s="146"/>
      <c r="G53" s="146"/>
      <c r="H53" s="146"/>
    </row>
    <row r="54" spans="1:8" ht="19.5" customHeight="1" x14ac:dyDescent="0.25">
      <c r="A54" s="4" t="s">
        <v>608</v>
      </c>
      <c r="B54" s="145" t="s">
        <v>609</v>
      </c>
      <c r="C54" s="145"/>
      <c r="D54" s="145"/>
      <c r="E54" s="145"/>
      <c r="F54" s="145"/>
      <c r="G54" s="145"/>
      <c r="H54" s="145"/>
    </row>
    <row r="55" spans="1:8" ht="19.5" customHeight="1" x14ac:dyDescent="0.25">
      <c r="A55" s="7" t="s">
        <v>610</v>
      </c>
      <c r="B55" s="146" t="s">
        <v>611</v>
      </c>
      <c r="C55" s="146"/>
      <c r="D55" s="146"/>
      <c r="E55" s="146"/>
      <c r="F55" s="146"/>
      <c r="G55" s="146"/>
      <c r="H55" s="146"/>
    </row>
  </sheetData>
  <mergeCells count="23">
    <mergeCell ref="A1:H1"/>
    <mergeCell ref="A2:H2"/>
    <mergeCell ref="A4:B4"/>
    <mergeCell ref="C4:D4"/>
    <mergeCell ref="A5:B5"/>
    <mergeCell ref="C5:H5"/>
    <mergeCell ref="A7:H7"/>
    <mergeCell ref="A38:H38"/>
    <mergeCell ref="C40:H40"/>
    <mergeCell ref="C41:H41"/>
    <mergeCell ref="C42:H42"/>
    <mergeCell ref="C43:H43"/>
    <mergeCell ref="C44:H44"/>
    <mergeCell ref="C45:H45"/>
    <mergeCell ref="C46:H46"/>
    <mergeCell ref="C47:H47"/>
    <mergeCell ref="B54:H54"/>
    <mergeCell ref="B55:H55"/>
    <mergeCell ref="A49:H49"/>
    <mergeCell ref="B50:H50"/>
    <mergeCell ref="B51:H51"/>
    <mergeCell ref="B52:H52"/>
    <mergeCell ref="B53:H53"/>
  </mergeCells>
  <dataValidations count="1">
    <dataValidation type="list" allowBlank="1" sqref="C4">
      <formula1>"Google Search,Google Display,Google PMax,Google Demand Gen,Meta Facebook,Microsoft Bing"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58B2F"/>
  </sheetPr>
  <dimension ref="A1:D62"/>
  <sheetViews>
    <sheetView showGridLines="0" zoomScaleNormal="100" workbookViewId="0">
      <selection activeCell="C9" sqref="C9"/>
    </sheetView>
  </sheetViews>
  <sheetFormatPr defaultColWidth="8.7109375" defaultRowHeight="15" x14ac:dyDescent="0.25"/>
  <cols>
    <col min="1" max="1" width="4" style="1" customWidth="1"/>
    <col min="2" max="2" width="32" style="1" customWidth="1"/>
    <col min="3" max="3" width="52" style="1" customWidth="1"/>
    <col min="4" max="4" width="12" style="1" customWidth="1"/>
  </cols>
  <sheetData>
    <row r="1" spans="1:4" ht="33.75" customHeight="1" x14ac:dyDescent="0.25">
      <c r="A1" s="102" t="s">
        <v>612</v>
      </c>
      <c r="B1" s="102"/>
      <c r="C1" s="102"/>
      <c r="D1" s="102"/>
    </row>
    <row r="2" spans="1:4" ht="18" customHeight="1" x14ac:dyDescent="0.25">
      <c r="A2" s="101" t="s">
        <v>613</v>
      </c>
      <c r="B2" s="101"/>
      <c r="C2" s="101"/>
      <c r="D2" s="101"/>
    </row>
    <row r="3" spans="1:4" ht="7.5" customHeight="1" x14ac:dyDescent="0.25"/>
    <row r="4" spans="1:4" ht="21.75" customHeight="1" x14ac:dyDescent="0.25">
      <c r="A4" s="96" t="s">
        <v>614</v>
      </c>
      <c r="B4" s="96"/>
      <c r="C4" s="96"/>
      <c r="D4" s="96"/>
    </row>
    <row r="5" spans="1:4" ht="21.75" customHeight="1" x14ac:dyDescent="0.25">
      <c r="A5" s="2" t="s">
        <v>85</v>
      </c>
      <c r="B5" s="2" t="s">
        <v>615</v>
      </c>
      <c r="C5" s="2" t="s">
        <v>616</v>
      </c>
    </row>
    <row r="6" spans="1:4" ht="24" customHeight="1" x14ac:dyDescent="0.25">
      <c r="A6" s="3">
        <v>1</v>
      </c>
      <c r="B6" s="4" t="s">
        <v>617</v>
      </c>
      <c r="C6" s="5" t="s">
        <v>618</v>
      </c>
      <c r="D6" s="38">
        <f t="shared" ref="D6:D15" si="0">LEN(C6)</f>
        <v>53</v>
      </c>
    </row>
    <row r="7" spans="1:4" ht="24" customHeight="1" x14ac:dyDescent="0.25">
      <c r="A7" s="78">
        <v>2</v>
      </c>
      <c r="B7" s="57" t="s">
        <v>338</v>
      </c>
      <c r="C7" s="58" t="s">
        <v>619</v>
      </c>
      <c r="D7" s="79">
        <f t="shared" si="0"/>
        <v>60</v>
      </c>
    </row>
    <row r="8" spans="1:4" ht="24" customHeight="1" x14ac:dyDescent="0.25">
      <c r="A8" s="3">
        <v>3</v>
      </c>
      <c r="B8" s="4" t="s">
        <v>620</v>
      </c>
      <c r="C8" s="5" t="s">
        <v>621</v>
      </c>
      <c r="D8" s="38">
        <f t="shared" si="0"/>
        <v>51</v>
      </c>
    </row>
    <row r="9" spans="1:4" ht="24" customHeight="1" x14ac:dyDescent="0.25">
      <c r="A9" s="78">
        <v>4</v>
      </c>
      <c r="B9" s="57" t="s">
        <v>622</v>
      </c>
      <c r="C9" s="58" t="s">
        <v>623</v>
      </c>
      <c r="D9" s="79">
        <f t="shared" si="0"/>
        <v>52</v>
      </c>
    </row>
    <row r="10" spans="1:4" ht="24" customHeight="1" x14ac:dyDescent="0.25">
      <c r="A10" s="3">
        <v>5</v>
      </c>
      <c r="B10" s="4" t="s">
        <v>624</v>
      </c>
      <c r="C10" s="5" t="s">
        <v>625</v>
      </c>
      <c r="D10" s="38">
        <f t="shared" si="0"/>
        <v>49</v>
      </c>
    </row>
    <row r="11" spans="1:4" ht="24" customHeight="1" x14ac:dyDescent="0.25">
      <c r="A11" s="78">
        <v>6</v>
      </c>
      <c r="B11" s="57" t="s">
        <v>626</v>
      </c>
      <c r="C11" s="58" t="s">
        <v>627</v>
      </c>
      <c r="D11" s="79">
        <f t="shared" si="0"/>
        <v>46</v>
      </c>
    </row>
    <row r="12" spans="1:4" ht="24" customHeight="1" x14ac:dyDescent="0.25">
      <c r="A12" s="3">
        <v>7</v>
      </c>
      <c r="B12" s="4" t="s">
        <v>628</v>
      </c>
      <c r="C12" s="5" t="s">
        <v>629</v>
      </c>
      <c r="D12" s="38">
        <f t="shared" si="0"/>
        <v>41</v>
      </c>
    </row>
    <row r="13" spans="1:4" ht="24" customHeight="1" x14ac:dyDescent="0.25">
      <c r="A13" s="78">
        <v>8</v>
      </c>
      <c r="B13" s="57" t="s">
        <v>630</v>
      </c>
      <c r="C13" s="58" t="s">
        <v>631</v>
      </c>
      <c r="D13" s="79">
        <f t="shared" si="0"/>
        <v>51</v>
      </c>
    </row>
    <row r="14" spans="1:4" ht="24" customHeight="1" x14ac:dyDescent="0.25">
      <c r="A14" s="3">
        <v>9</v>
      </c>
      <c r="B14" s="4" t="s">
        <v>199</v>
      </c>
      <c r="C14" s="5" t="s">
        <v>793</v>
      </c>
      <c r="D14" s="38">
        <f t="shared" si="0"/>
        <v>46</v>
      </c>
    </row>
    <row r="15" spans="1:4" ht="24" customHeight="1" x14ac:dyDescent="0.25">
      <c r="A15" s="78">
        <v>10</v>
      </c>
      <c r="B15" s="57" t="s">
        <v>632</v>
      </c>
      <c r="C15" s="58" t="s">
        <v>633</v>
      </c>
      <c r="D15" s="79">
        <f t="shared" si="0"/>
        <v>63</v>
      </c>
    </row>
    <row r="16" spans="1:4" ht="7.5" customHeight="1" x14ac:dyDescent="0.25"/>
    <row r="17" spans="1:4" ht="21.75" customHeight="1" x14ac:dyDescent="0.25">
      <c r="A17" s="96" t="s">
        <v>634</v>
      </c>
      <c r="B17" s="96"/>
      <c r="C17" s="96"/>
      <c r="D17" s="96"/>
    </row>
    <row r="18" spans="1:4" ht="21.75" customHeight="1" x14ac:dyDescent="0.25">
      <c r="A18" s="2" t="s">
        <v>85</v>
      </c>
      <c r="B18" s="2" t="s">
        <v>615</v>
      </c>
      <c r="C18" s="2" t="s">
        <v>616</v>
      </c>
    </row>
    <row r="19" spans="1:4" ht="24" customHeight="1" x14ac:dyDescent="0.25">
      <c r="A19" s="3">
        <v>1</v>
      </c>
      <c r="B19" s="4" t="s">
        <v>635</v>
      </c>
      <c r="C19" s="5" t="s">
        <v>204</v>
      </c>
      <c r="D19" s="38">
        <f t="shared" ref="D19:D30" si="1">LEN(C19)</f>
        <v>14</v>
      </c>
    </row>
    <row r="20" spans="1:4" ht="24" customHeight="1" x14ac:dyDescent="0.25">
      <c r="A20" s="80">
        <v>2</v>
      </c>
      <c r="B20" s="60" t="s">
        <v>636</v>
      </c>
      <c r="C20" s="61" t="s">
        <v>637</v>
      </c>
      <c r="D20" s="81">
        <f t="shared" si="1"/>
        <v>17</v>
      </c>
    </row>
    <row r="21" spans="1:4" ht="24" customHeight="1" x14ac:dyDescent="0.25">
      <c r="A21" s="3">
        <v>3</v>
      </c>
      <c r="B21" s="4" t="s">
        <v>638</v>
      </c>
      <c r="C21" s="5" t="s">
        <v>639</v>
      </c>
      <c r="D21" s="38">
        <f t="shared" si="1"/>
        <v>21</v>
      </c>
    </row>
    <row r="22" spans="1:4" ht="24" customHeight="1" x14ac:dyDescent="0.25">
      <c r="A22" s="80">
        <v>4</v>
      </c>
      <c r="B22" s="60" t="s">
        <v>640</v>
      </c>
      <c r="C22" s="61" t="s">
        <v>641</v>
      </c>
      <c r="D22" s="81">
        <f t="shared" si="1"/>
        <v>20</v>
      </c>
    </row>
    <row r="23" spans="1:4" ht="24" customHeight="1" x14ac:dyDescent="0.25">
      <c r="A23" s="3">
        <v>5</v>
      </c>
      <c r="B23" s="4" t="s">
        <v>642</v>
      </c>
      <c r="C23" s="5" t="s">
        <v>643</v>
      </c>
      <c r="D23" s="38">
        <f t="shared" si="1"/>
        <v>15</v>
      </c>
    </row>
    <row r="24" spans="1:4" ht="24" customHeight="1" x14ac:dyDescent="0.25">
      <c r="A24" s="80">
        <v>6</v>
      </c>
      <c r="B24" s="60" t="s">
        <v>644</v>
      </c>
      <c r="C24" s="61" t="s">
        <v>645</v>
      </c>
      <c r="D24" s="81">
        <f t="shared" si="1"/>
        <v>26</v>
      </c>
    </row>
    <row r="25" spans="1:4" ht="24" customHeight="1" x14ac:dyDescent="0.25">
      <c r="A25" s="3">
        <v>7</v>
      </c>
      <c r="B25" s="4" t="s">
        <v>646</v>
      </c>
      <c r="C25" s="5" t="s">
        <v>647</v>
      </c>
      <c r="D25" s="38">
        <f t="shared" si="1"/>
        <v>10</v>
      </c>
    </row>
    <row r="26" spans="1:4" ht="24" customHeight="1" x14ac:dyDescent="0.25">
      <c r="A26" s="80">
        <v>8</v>
      </c>
      <c r="B26" s="60" t="s">
        <v>648</v>
      </c>
      <c r="C26" s="61" t="s">
        <v>649</v>
      </c>
      <c r="D26" s="81">
        <f t="shared" si="1"/>
        <v>9</v>
      </c>
    </row>
    <row r="27" spans="1:4" ht="24" customHeight="1" x14ac:dyDescent="0.25">
      <c r="A27" s="3">
        <v>9</v>
      </c>
      <c r="B27" s="4" t="s">
        <v>650</v>
      </c>
      <c r="C27" s="5" t="s">
        <v>651</v>
      </c>
      <c r="D27" s="38">
        <f t="shared" si="1"/>
        <v>24</v>
      </c>
    </row>
    <row r="28" spans="1:4" ht="24" customHeight="1" x14ac:dyDescent="0.25">
      <c r="A28" s="80">
        <v>10</v>
      </c>
      <c r="B28" s="60" t="s">
        <v>652</v>
      </c>
      <c r="C28" s="61" t="s">
        <v>653</v>
      </c>
      <c r="D28" s="81">
        <f t="shared" si="1"/>
        <v>25</v>
      </c>
    </row>
    <row r="29" spans="1:4" ht="24" customHeight="1" x14ac:dyDescent="0.25">
      <c r="A29" s="3">
        <v>11</v>
      </c>
      <c r="B29" s="4" t="s">
        <v>654</v>
      </c>
      <c r="C29" s="5" t="s">
        <v>655</v>
      </c>
      <c r="D29" s="38">
        <f t="shared" si="1"/>
        <v>23</v>
      </c>
    </row>
    <row r="30" spans="1:4" ht="24" customHeight="1" x14ac:dyDescent="0.25">
      <c r="A30" s="80">
        <v>12</v>
      </c>
      <c r="B30" s="60" t="s">
        <v>656</v>
      </c>
      <c r="C30" s="61" t="s">
        <v>657</v>
      </c>
      <c r="D30" s="81">
        <f t="shared" si="1"/>
        <v>21</v>
      </c>
    </row>
    <row r="31" spans="1:4" ht="7.5" customHeight="1" x14ac:dyDescent="0.25"/>
    <row r="32" spans="1:4" ht="21.75" customHeight="1" x14ac:dyDescent="0.25">
      <c r="A32" s="96" t="s">
        <v>658</v>
      </c>
      <c r="B32" s="96"/>
      <c r="C32" s="96"/>
      <c r="D32" s="96"/>
    </row>
    <row r="33" spans="1:4" ht="21.75" customHeight="1" x14ac:dyDescent="0.25">
      <c r="A33" s="2" t="s">
        <v>85</v>
      </c>
      <c r="B33" s="2" t="s">
        <v>615</v>
      </c>
      <c r="C33" s="2" t="s">
        <v>616</v>
      </c>
    </row>
    <row r="34" spans="1:4" ht="24" customHeight="1" x14ac:dyDescent="0.25">
      <c r="A34" s="3">
        <v>1</v>
      </c>
      <c r="B34" s="4" t="s">
        <v>659</v>
      </c>
      <c r="C34" s="5" t="s">
        <v>660</v>
      </c>
      <c r="D34" s="38">
        <f t="shared" ref="D34:D41" si="2">LEN(C34)</f>
        <v>48</v>
      </c>
    </row>
    <row r="35" spans="1:4" ht="24" customHeight="1" x14ac:dyDescent="0.25">
      <c r="A35" s="20">
        <v>2</v>
      </c>
      <c r="B35" s="22" t="s">
        <v>661</v>
      </c>
      <c r="C35" s="32" t="s">
        <v>662</v>
      </c>
      <c r="D35" s="82">
        <f t="shared" si="2"/>
        <v>60</v>
      </c>
    </row>
    <row r="36" spans="1:4" ht="24" customHeight="1" x14ac:dyDescent="0.25">
      <c r="A36" s="3">
        <v>3</v>
      </c>
      <c r="B36" s="4" t="s">
        <v>663</v>
      </c>
      <c r="C36" s="5" t="s">
        <v>664</v>
      </c>
      <c r="D36" s="38">
        <f t="shared" si="2"/>
        <v>53</v>
      </c>
    </row>
    <row r="37" spans="1:4" ht="24" customHeight="1" x14ac:dyDescent="0.25">
      <c r="A37" s="20">
        <v>4</v>
      </c>
      <c r="B37" s="22" t="s">
        <v>665</v>
      </c>
      <c r="C37" s="32" t="s">
        <v>666</v>
      </c>
      <c r="D37" s="82">
        <f t="shared" si="2"/>
        <v>52</v>
      </c>
    </row>
    <row r="38" spans="1:4" ht="24" customHeight="1" x14ac:dyDescent="0.25">
      <c r="A38" s="3">
        <v>5</v>
      </c>
      <c r="B38" s="4" t="s">
        <v>667</v>
      </c>
      <c r="C38" s="5" t="s">
        <v>668</v>
      </c>
      <c r="D38" s="38">
        <f t="shared" si="2"/>
        <v>49</v>
      </c>
    </row>
    <row r="39" spans="1:4" ht="24" customHeight="1" x14ac:dyDescent="0.25">
      <c r="A39" s="20">
        <v>6</v>
      </c>
      <c r="B39" s="22" t="s">
        <v>669</v>
      </c>
      <c r="C39" s="32" t="s">
        <v>670</v>
      </c>
      <c r="D39" s="82">
        <f t="shared" si="2"/>
        <v>55</v>
      </c>
    </row>
    <row r="40" spans="1:4" ht="24" customHeight="1" x14ac:dyDescent="0.25">
      <c r="A40" s="3">
        <v>7</v>
      </c>
      <c r="B40" s="4" t="s">
        <v>632</v>
      </c>
      <c r="C40" s="5" t="s">
        <v>671</v>
      </c>
      <c r="D40" s="38">
        <f t="shared" si="2"/>
        <v>55</v>
      </c>
    </row>
    <row r="41" spans="1:4" ht="24" customHeight="1" x14ac:dyDescent="0.25">
      <c r="A41" s="20">
        <v>8</v>
      </c>
      <c r="B41" s="22" t="s">
        <v>672</v>
      </c>
      <c r="C41" s="32" t="s">
        <v>673</v>
      </c>
      <c r="D41" s="82">
        <f t="shared" si="2"/>
        <v>53</v>
      </c>
    </row>
    <row r="42" spans="1:4" ht="7.5" customHeight="1" x14ac:dyDescent="0.25"/>
    <row r="43" spans="1:4" ht="21.75" customHeight="1" x14ac:dyDescent="0.25">
      <c r="A43" s="96" t="s">
        <v>674</v>
      </c>
      <c r="B43" s="96"/>
      <c r="C43" s="96"/>
      <c r="D43" s="96"/>
    </row>
    <row r="44" spans="1:4" ht="21.75" customHeight="1" x14ac:dyDescent="0.25">
      <c r="A44" s="2" t="s">
        <v>85</v>
      </c>
      <c r="B44" s="2" t="s">
        <v>615</v>
      </c>
      <c r="C44" s="2" t="s">
        <v>616</v>
      </c>
    </row>
    <row r="45" spans="1:4" ht="24" customHeight="1" x14ac:dyDescent="0.25">
      <c r="A45" s="3">
        <v>1</v>
      </c>
      <c r="B45" s="4" t="s">
        <v>675</v>
      </c>
      <c r="C45" s="5" t="s">
        <v>676</v>
      </c>
      <c r="D45" s="38">
        <f t="shared" ref="D45:D52" si="3">LEN(C45)</f>
        <v>96</v>
      </c>
    </row>
    <row r="46" spans="1:4" ht="24" customHeight="1" x14ac:dyDescent="0.25">
      <c r="A46" s="83">
        <v>2</v>
      </c>
      <c r="B46" s="64" t="s">
        <v>677</v>
      </c>
      <c r="C46" s="65" t="s">
        <v>678</v>
      </c>
      <c r="D46" s="84">
        <f t="shared" si="3"/>
        <v>92</v>
      </c>
    </row>
    <row r="47" spans="1:4" ht="24" customHeight="1" x14ac:dyDescent="0.25">
      <c r="A47" s="3">
        <v>3</v>
      </c>
      <c r="B47" s="4" t="s">
        <v>679</v>
      </c>
      <c r="C47" s="5" t="s">
        <v>680</v>
      </c>
      <c r="D47" s="38">
        <f t="shared" si="3"/>
        <v>96</v>
      </c>
    </row>
    <row r="48" spans="1:4" ht="24" customHeight="1" x14ac:dyDescent="0.25">
      <c r="A48" s="83">
        <v>4</v>
      </c>
      <c r="B48" s="64" t="s">
        <v>365</v>
      </c>
      <c r="C48" s="65" t="s">
        <v>681</v>
      </c>
      <c r="D48" s="84">
        <f t="shared" si="3"/>
        <v>98</v>
      </c>
    </row>
    <row r="49" spans="1:4" ht="24" customHeight="1" x14ac:dyDescent="0.25">
      <c r="A49" s="3">
        <v>5</v>
      </c>
      <c r="B49" s="4" t="s">
        <v>124</v>
      </c>
      <c r="C49" s="5" t="s">
        <v>682</v>
      </c>
      <c r="D49" s="38">
        <f t="shared" si="3"/>
        <v>95</v>
      </c>
    </row>
    <row r="50" spans="1:4" ht="24" customHeight="1" x14ac:dyDescent="0.25">
      <c r="A50" s="83">
        <v>6</v>
      </c>
      <c r="B50" s="64" t="s">
        <v>683</v>
      </c>
      <c r="C50" s="65" t="s">
        <v>684</v>
      </c>
      <c r="D50" s="84">
        <f t="shared" si="3"/>
        <v>86</v>
      </c>
    </row>
    <row r="51" spans="1:4" ht="24" customHeight="1" x14ac:dyDescent="0.25">
      <c r="A51" s="3">
        <v>7</v>
      </c>
      <c r="B51" s="4" t="s">
        <v>685</v>
      </c>
      <c r="C51" s="5" t="s">
        <v>686</v>
      </c>
      <c r="D51" s="38">
        <f t="shared" si="3"/>
        <v>83</v>
      </c>
    </row>
    <row r="52" spans="1:4" ht="24" customHeight="1" x14ac:dyDescent="0.25">
      <c r="A52" s="83">
        <v>8</v>
      </c>
      <c r="B52" s="64" t="s">
        <v>687</v>
      </c>
      <c r="C52" s="65" t="s">
        <v>688</v>
      </c>
      <c r="D52" s="84">
        <f t="shared" si="3"/>
        <v>89</v>
      </c>
    </row>
    <row r="53" spans="1:4" ht="7.5" customHeight="1" x14ac:dyDescent="0.25"/>
    <row r="54" spans="1:4" ht="21.75" customHeight="1" x14ac:dyDescent="0.25">
      <c r="A54" s="96" t="s">
        <v>689</v>
      </c>
      <c r="B54" s="96"/>
      <c r="C54" s="96"/>
      <c r="D54" s="96"/>
    </row>
    <row r="55" spans="1:4" ht="21.75" customHeight="1" x14ac:dyDescent="0.25">
      <c r="A55" s="2" t="s">
        <v>85</v>
      </c>
      <c r="B55" s="2" t="s">
        <v>615</v>
      </c>
      <c r="C55" s="2" t="s">
        <v>616</v>
      </c>
    </row>
    <row r="56" spans="1:4" ht="24" customHeight="1" x14ac:dyDescent="0.25">
      <c r="A56" s="3">
        <v>1</v>
      </c>
      <c r="B56" s="4" t="s">
        <v>690</v>
      </c>
      <c r="C56" s="5" t="s">
        <v>691</v>
      </c>
      <c r="D56" s="38">
        <f t="shared" ref="D56:D61" si="4">LEN(C56)</f>
        <v>97</v>
      </c>
    </row>
    <row r="57" spans="1:4" ht="24" customHeight="1" x14ac:dyDescent="0.25">
      <c r="A57" s="85">
        <v>2</v>
      </c>
      <c r="B57" s="75" t="s">
        <v>692</v>
      </c>
      <c r="C57" s="86" t="s">
        <v>693</v>
      </c>
      <c r="D57" s="87">
        <f t="shared" si="4"/>
        <v>75</v>
      </c>
    </row>
    <row r="58" spans="1:4" ht="24" customHeight="1" x14ac:dyDescent="0.25">
      <c r="A58" s="3">
        <v>3</v>
      </c>
      <c r="B58" s="4" t="s">
        <v>694</v>
      </c>
      <c r="C58" s="5" t="s">
        <v>695</v>
      </c>
      <c r="D58" s="38">
        <f t="shared" si="4"/>
        <v>72</v>
      </c>
    </row>
    <row r="59" spans="1:4" ht="24" customHeight="1" x14ac:dyDescent="0.25">
      <c r="A59" s="85">
        <v>4</v>
      </c>
      <c r="B59" s="75" t="s">
        <v>696</v>
      </c>
      <c r="C59" s="86" t="s">
        <v>697</v>
      </c>
      <c r="D59" s="87">
        <f t="shared" si="4"/>
        <v>56</v>
      </c>
    </row>
    <row r="60" spans="1:4" ht="24" customHeight="1" x14ac:dyDescent="0.25">
      <c r="A60" s="3">
        <v>5</v>
      </c>
      <c r="B60" s="4" t="s">
        <v>698</v>
      </c>
      <c r="C60" s="5" t="s">
        <v>699</v>
      </c>
      <c r="D60" s="38">
        <f t="shared" si="4"/>
        <v>72</v>
      </c>
    </row>
    <row r="61" spans="1:4" ht="24" customHeight="1" x14ac:dyDescent="0.25">
      <c r="A61" s="85">
        <v>6</v>
      </c>
      <c r="B61" s="75" t="s">
        <v>700</v>
      </c>
      <c r="C61" s="86" t="s">
        <v>701</v>
      </c>
      <c r="D61" s="87">
        <f t="shared" si="4"/>
        <v>82</v>
      </c>
    </row>
    <row r="62" spans="1:4" ht="7.5" customHeight="1" x14ac:dyDescent="0.25"/>
  </sheetData>
  <mergeCells count="7">
    <mergeCell ref="A43:D43"/>
    <mergeCell ref="A54:D54"/>
    <mergeCell ref="A1:D1"/>
    <mergeCell ref="A2:D2"/>
    <mergeCell ref="A4:D4"/>
    <mergeCell ref="A17:D17"/>
    <mergeCell ref="A32:D3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474F"/>
  </sheetPr>
  <dimension ref="A1:K29"/>
  <sheetViews>
    <sheetView showGridLines="0" zoomScaleNormal="100" workbookViewId="0">
      <selection activeCell="A4" sqref="A4:K4"/>
    </sheetView>
  </sheetViews>
  <sheetFormatPr defaultColWidth="8.7109375" defaultRowHeight="15" x14ac:dyDescent="0.25"/>
  <cols>
    <col min="1" max="1" width="4" style="1" customWidth="1"/>
    <col min="2" max="2" width="20" style="1" customWidth="1"/>
    <col min="3" max="3" width="16" style="1" customWidth="1"/>
    <col min="4" max="5" width="22" style="1" customWidth="1"/>
    <col min="6" max="7" width="14" style="1" customWidth="1"/>
    <col min="8" max="10" width="12" style="1" customWidth="1"/>
    <col min="11" max="11" width="28" style="1" customWidth="1"/>
  </cols>
  <sheetData>
    <row r="1" spans="1:11" ht="33.75" customHeight="1" x14ac:dyDescent="0.25">
      <c r="A1" s="102" t="s">
        <v>702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</row>
    <row r="2" spans="1:11" ht="18" customHeight="1" x14ac:dyDescent="0.25">
      <c r="A2" s="101" t="s">
        <v>703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</row>
    <row r="3" spans="1:11" ht="7.5" customHeight="1" x14ac:dyDescent="0.25"/>
    <row r="4" spans="1:11" ht="24" customHeight="1" x14ac:dyDescent="0.25">
      <c r="A4" s="153" t="s">
        <v>704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</row>
    <row r="5" spans="1:11" ht="43.5" customHeight="1" x14ac:dyDescent="0.25">
      <c r="A5" s="13" t="s">
        <v>85</v>
      </c>
      <c r="B5" s="13" t="s">
        <v>86</v>
      </c>
      <c r="C5" s="13" t="s">
        <v>87</v>
      </c>
      <c r="D5" s="13" t="s">
        <v>88</v>
      </c>
      <c r="E5" s="13" t="s">
        <v>705</v>
      </c>
      <c r="F5" s="13" t="s">
        <v>95</v>
      </c>
      <c r="G5" s="13" t="s">
        <v>706</v>
      </c>
      <c r="H5" s="13" t="s">
        <v>96</v>
      </c>
      <c r="I5" s="13" t="s">
        <v>707</v>
      </c>
      <c r="J5" s="13" t="s">
        <v>708</v>
      </c>
      <c r="K5" s="13" t="s">
        <v>98</v>
      </c>
    </row>
    <row r="6" spans="1:11" ht="24" customHeight="1" x14ac:dyDescent="0.25">
      <c r="A6" s="3">
        <v>1</v>
      </c>
      <c r="B6" s="5" t="s">
        <v>99</v>
      </c>
      <c r="C6" s="5" t="s">
        <v>100</v>
      </c>
      <c r="D6" s="5" t="s">
        <v>101</v>
      </c>
      <c r="E6" s="5" t="s">
        <v>709</v>
      </c>
      <c r="F6" s="5"/>
      <c r="G6" s="5"/>
      <c r="H6" s="16" t="s">
        <v>104</v>
      </c>
      <c r="I6" s="5"/>
      <c r="J6" s="5"/>
      <c r="K6" s="5"/>
    </row>
    <row r="7" spans="1:11" ht="24" customHeight="1" x14ac:dyDescent="0.25">
      <c r="A7" s="6">
        <v>2</v>
      </c>
      <c r="B7" s="8" t="s">
        <v>99</v>
      </c>
      <c r="C7" s="8" t="s">
        <v>100</v>
      </c>
      <c r="D7" s="8" t="s">
        <v>107</v>
      </c>
      <c r="E7" s="8" t="s">
        <v>709</v>
      </c>
      <c r="F7" s="8"/>
      <c r="G7" s="8"/>
      <c r="H7" s="14" t="s">
        <v>104</v>
      </c>
      <c r="I7" s="8"/>
      <c r="J7" s="8"/>
      <c r="K7" s="8"/>
    </row>
    <row r="8" spans="1:11" ht="24" customHeight="1" x14ac:dyDescent="0.25">
      <c r="A8" s="3">
        <v>3</v>
      </c>
      <c r="B8" s="5" t="s">
        <v>99</v>
      </c>
      <c r="C8" s="5" t="s">
        <v>100</v>
      </c>
      <c r="D8" s="5" t="s">
        <v>111</v>
      </c>
      <c r="E8" s="5" t="s">
        <v>709</v>
      </c>
      <c r="F8" s="5"/>
      <c r="G8" s="5"/>
      <c r="H8" s="16" t="s">
        <v>104</v>
      </c>
      <c r="I8" s="5"/>
      <c r="J8" s="5"/>
      <c r="K8" s="5"/>
    </row>
    <row r="9" spans="1:11" ht="24" customHeight="1" x14ac:dyDescent="0.25">
      <c r="A9" s="6">
        <v>4</v>
      </c>
      <c r="B9" s="8" t="s">
        <v>99</v>
      </c>
      <c r="C9" s="8" t="s">
        <v>100</v>
      </c>
      <c r="D9" s="8" t="s">
        <v>114</v>
      </c>
      <c r="E9" s="8" t="s">
        <v>709</v>
      </c>
      <c r="F9" s="8"/>
      <c r="G9" s="8"/>
      <c r="H9" s="14" t="s">
        <v>104</v>
      </c>
      <c r="I9" s="8"/>
      <c r="J9" s="8"/>
      <c r="K9" s="8"/>
    </row>
    <row r="10" spans="1:11" ht="24" customHeight="1" x14ac:dyDescent="0.25">
      <c r="A10" s="3">
        <v>5</v>
      </c>
      <c r="B10" s="5" t="s">
        <v>99</v>
      </c>
      <c r="C10" s="5" t="s">
        <v>100</v>
      </c>
      <c r="D10" s="5" t="s">
        <v>119</v>
      </c>
      <c r="E10" s="5" t="s">
        <v>709</v>
      </c>
      <c r="F10" s="5"/>
      <c r="G10" s="5"/>
      <c r="H10" s="16" t="s">
        <v>104</v>
      </c>
      <c r="I10" s="5"/>
      <c r="J10" s="5"/>
      <c r="K10" s="5"/>
    </row>
    <row r="11" spans="1:11" ht="24" customHeight="1" x14ac:dyDescent="0.25">
      <c r="A11" s="6">
        <v>6</v>
      </c>
      <c r="B11" s="8" t="s">
        <v>99</v>
      </c>
      <c r="C11" s="8" t="s">
        <v>100</v>
      </c>
      <c r="D11" s="8" t="s">
        <v>123</v>
      </c>
      <c r="E11" s="8" t="s">
        <v>709</v>
      </c>
      <c r="F11" s="8"/>
      <c r="G11" s="8"/>
      <c r="H11" s="14" t="s">
        <v>104</v>
      </c>
      <c r="I11" s="8"/>
      <c r="J11" s="8"/>
      <c r="K11" s="8"/>
    </row>
    <row r="12" spans="1:11" ht="24" customHeight="1" x14ac:dyDescent="0.25">
      <c r="A12" s="3">
        <v>7</v>
      </c>
      <c r="B12" s="5" t="s">
        <v>99</v>
      </c>
      <c r="C12" s="5" t="s">
        <v>710</v>
      </c>
      <c r="D12" s="5" t="s">
        <v>711</v>
      </c>
      <c r="E12" s="5" t="s">
        <v>712</v>
      </c>
      <c r="F12" s="5"/>
      <c r="G12" s="5"/>
      <c r="H12" s="16" t="s">
        <v>104</v>
      </c>
      <c r="I12" s="5"/>
      <c r="J12" s="5"/>
      <c r="K12" s="5"/>
    </row>
    <row r="13" spans="1:11" ht="24" customHeight="1" x14ac:dyDescent="0.25">
      <c r="A13" s="6">
        <v>8</v>
      </c>
      <c r="B13" s="8" t="s">
        <v>99</v>
      </c>
      <c r="C13" s="8" t="s">
        <v>710</v>
      </c>
      <c r="D13" s="8" t="s">
        <v>711</v>
      </c>
      <c r="E13" s="8" t="s">
        <v>713</v>
      </c>
      <c r="F13" s="8"/>
      <c r="G13" s="8"/>
      <c r="H13" s="14" t="s">
        <v>104</v>
      </c>
      <c r="I13" s="8"/>
      <c r="J13" s="8"/>
      <c r="K13" s="8"/>
    </row>
    <row r="14" spans="1:11" ht="24" customHeight="1" x14ac:dyDescent="0.25">
      <c r="A14" s="3">
        <v>9</v>
      </c>
      <c r="B14" s="5" t="s">
        <v>127</v>
      </c>
      <c r="C14" s="5" t="s">
        <v>128</v>
      </c>
      <c r="D14" s="5" t="s">
        <v>129</v>
      </c>
      <c r="E14" s="5" t="s">
        <v>714</v>
      </c>
      <c r="F14" s="5"/>
      <c r="G14" s="5"/>
      <c r="H14" s="16" t="s">
        <v>104</v>
      </c>
      <c r="I14" s="5"/>
      <c r="J14" s="5"/>
      <c r="K14" s="5"/>
    </row>
    <row r="15" spans="1:11" ht="24" customHeight="1" x14ac:dyDescent="0.25">
      <c r="A15" s="6">
        <v>10</v>
      </c>
      <c r="B15" s="8" t="s">
        <v>133</v>
      </c>
      <c r="C15" s="8" t="s">
        <v>134</v>
      </c>
      <c r="D15" s="8" t="s">
        <v>715</v>
      </c>
      <c r="E15" s="8" t="s">
        <v>716</v>
      </c>
      <c r="F15" s="8"/>
      <c r="G15" s="8"/>
      <c r="H15" s="14" t="s">
        <v>104</v>
      </c>
      <c r="I15" s="8"/>
      <c r="J15" s="8"/>
      <c r="K15" s="8"/>
    </row>
    <row r="16" spans="1:11" ht="24" customHeight="1" x14ac:dyDescent="0.25">
      <c r="A16" s="3">
        <v>11</v>
      </c>
      <c r="B16" s="5" t="s">
        <v>139</v>
      </c>
      <c r="C16" s="5" t="s">
        <v>140</v>
      </c>
      <c r="D16" s="5" t="s">
        <v>141</v>
      </c>
      <c r="E16" s="5" t="s">
        <v>717</v>
      </c>
      <c r="F16" s="5"/>
      <c r="G16" s="5"/>
      <c r="H16" s="16" t="s">
        <v>104</v>
      </c>
      <c r="I16" s="5"/>
      <c r="J16" s="5"/>
      <c r="K16" s="5"/>
    </row>
    <row r="17" spans="1:11" ht="24" customHeight="1" x14ac:dyDescent="0.25">
      <c r="A17" s="6">
        <v>12</v>
      </c>
      <c r="B17" s="8" t="s">
        <v>146</v>
      </c>
      <c r="C17" s="8" t="s">
        <v>147</v>
      </c>
      <c r="D17" s="8" t="s">
        <v>148</v>
      </c>
      <c r="E17" s="8" t="s">
        <v>718</v>
      </c>
      <c r="F17" s="8"/>
      <c r="G17" s="8"/>
      <c r="H17" s="14" t="s">
        <v>104</v>
      </c>
      <c r="I17" s="8"/>
      <c r="J17" s="8"/>
      <c r="K17" s="8"/>
    </row>
    <row r="18" spans="1:11" ht="24" customHeight="1" x14ac:dyDescent="0.25">
      <c r="A18" s="3">
        <v>13</v>
      </c>
      <c r="B18" s="5" t="s">
        <v>146</v>
      </c>
      <c r="C18" s="5" t="s">
        <v>152</v>
      </c>
      <c r="D18" s="5" t="s">
        <v>153</v>
      </c>
      <c r="E18" s="5" t="s">
        <v>718</v>
      </c>
      <c r="F18" s="5"/>
      <c r="G18" s="5"/>
      <c r="H18" s="16" t="s">
        <v>104</v>
      </c>
      <c r="I18" s="5"/>
      <c r="J18" s="5"/>
      <c r="K18" s="5"/>
    </row>
    <row r="19" spans="1:11" ht="24" customHeight="1" x14ac:dyDescent="0.25">
      <c r="A19" s="6">
        <v>14</v>
      </c>
      <c r="B19" s="8" t="s">
        <v>146</v>
      </c>
      <c r="C19" s="8" t="s">
        <v>157</v>
      </c>
      <c r="D19" s="8" t="s">
        <v>719</v>
      </c>
      <c r="E19" s="8" t="s">
        <v>718</v>
      </c>
      <c r="F19" s="8"/>
      <c r="G19" s="8"/>
      <c r="H19" s="14" t="s">
        <v>104</v>
      </c>
      <c r="I19" s="8"/>
      <c r="J19" s="8"/>
      <c r="K19" s="8"/>
    </row>
    <row r="20" spans="1:11" ht="24" customHeight="1" x14ac:dyDescent="0.25">
      <c r="A20" s="3">
        <v>15</v>
      </c>
      <c r="B20" s="5" t="s">
        <v>162</v>
      </c>
      <c r="C20" s="5" t="s">
        <v>163</v>
      </c>
      <c r="D20" s="5" t="s">
        <v>164</v>
      </c>
      <c r="E20" s="5" t="s">
        <v>720</v>
      </c>
      <c r="F20" s="5"/>
      <c r="G20" s="5"/>
      <c r="H20" s="16" t="s">
        <v>104</v>
      </c>
      <c r="I20" s="5"/>
      <c r="J20" s="5"/>
      <c r="K20" s="5"/>
    </row>
    <row r="21" spans="1:11" ht="24" customHeight="1" x14ac:dyDescent="0.25">
      <c r="A21" s="6">
        <v>16</v>
      </c>
      <c r="B21" s="8" t="s">
        <v>168</v>
      </c>
      <c r="C21" s="8" t="s">
        <v>100</v>
      </c>
      <c r="D21" s="8" t="s">
        <v>169</v>
      </c>
      <c r="E21" s="8" t="s">
        <v>709</v>
      </c>
      <c r="F21" s="8"/>
      <c r="G21" s="8"/>
      <c r="H21" s="14" t="s">
        <v>104</v>
      </c>
      <c r="I21" s="8"/>
      <c r="J21" s="8"/>
      <c r="K21" s="8"/>
    </row>
    <row r="22" spans="1:11" ht="24" customHeight="1" x14ac:dyDescent="0.25">
      <c r="A22" s="3">
        <v>17</v>
      </c>
      <c r="B22" s="5" t="s">
        <v>168</v>
      </c>
      <c r="C22" s="5" t="s">
        <v>100</v>
      </c>
      <c r="D22" s="5" t="s">
        <v>171</v>
      </c>
      <c r="E22" s="5" t="s">
        <v>709</v>
      </c>
      <c r="F22" s="5"/>
      <c r="G22" s="5"/>
      <c r="H22" s="16" t="s">
        <v>104</v>
      </c>
      <c r="I22" s="5"/>
      <c r="J22" s="5"/>
      <c r="K22" s="5"/>
    </row>
    <row r="23" spans="1:11" ht="7.5" customHeight="1" x14ac:dyDescent="0.25"/>
    <row r="24" spans="1:11" ht="21.75" customHeight="1" x14ac:dyDescent="0.25">
      <c r="A24" s="96" t="s">
        <v>721</v>
      </c>
      <c r="B24" s="96"/>
      <c r="C24" s="96"/>
      <c r="D24" s="96"/>
      <c r="E24" s="96"/>
      <c r="F24" s="96"/>
      <c r="G24" s="96"/>
      <c r="H24" s="96"/>
      <c r="I24" s="96"/>
      <c r="J24" s="96"/>
      <c r="K24" s="96"/>
    </row>
    <row r="25" spans="1:11" ht="21.75" customHeight="1" x14ac:dyDescent="0.25">
      <c r="A25" s="3">
        <v>1</v>
      </c>
      <c r="B25" s="136" t="s">
        <v>722</v>
      </c>
      <c r="C25" s="136"/>
      <c r="D25" s="136"/>
      <c r="E25" s="99" t="s">
        <v>723</v>
      </c>
      <c r="F25" s="99"/>
      <c r="G25" s="99"/>
      <c r="H25" s="99"/>
      <c r="I25" s="99"/>
      <c r="J25" s="99"/>
      <c r="K25" s="99"/>
    </row>
    <row r="26" spans="1:11" ht="21.75" customHeight="1" x14ac:dyDescent="0.25">
      <c r="A26" s="6">
        <v>2</v>
      </c>
      <c r="B26" s="104" t="s">
        <v>724</v>
      </c>
      <c r="C26" s="104"/>
      <c r="D26" s="104"/>
      <c r="E26" s="98" t="s">
        <v>725</v>
      </c>
      <c r="F26" s="98"/>
      <c r="G26" s="98"/>
      <c r="H26" s="98"/>
      <c r="I26" s="98"/>
      <c r="J26" s="98"/>
      <c r="K26" s="98"/>
    </row>
    <row r="27" spans="1:11" ht="21.75" customHeight="1" x14ac:dyDescent="0.25">
      <c r="A27" s="3">
        <v>3</v>
      </c>
      <c r="B27" s="136" t="s">
        <v>726</v>
      </c>
      <c r="C27" s="136"/>
      <c r="D27" s="136"/>
      <c r="E27" s="99" t="s">
        <v>727</v>
      </c>
      <c r="F27" s="99"/>
      <c r="G27" s="99"/>
      <c r="H27" s="99"/>
      <c r="I27" s="99"/>
      <c r="J27" s="99"/>
      <c r="K27" s="99"/>
    </row>
    <row r="28" spans="1:11" ht="21.75" customHeight="1" x14ac:dyDescent="0.25">
      <c r="A28" s="6">
        <v>4</v>
      </c>
      <c r="B28" s="104" t="s">
        <v>728</v>
      </c>
      <c r="C28" s="104"/>
      <c r="D28" s="104"/>
      <c r="E28" s="98" t="s">
        <v>729</v>
      </c>
      <c r="F28" s="98"/>
      <c r="G28" s="98"/>
      <c r="H28" s="98"/>
      <c r="I28" s="98"/>
      <c r="J28" s="98"/>
      <c r="K28" s="98"/>
    </row>
    <row r="29" spans="1:11" ht="21.75" customHeight="1" x14ac:dyDescent="0.25">
      <c r="A29" s="3">
        <v>5</v>
      </c>
      <c r="B29" s="136" t="s">
        <v>730</v>
      </c>
      <c r="C29" s="136"/>
      <c r="D29" s="136"/>
      <c r="E29" s="99" t="s">
        <v>731</v>
      </c>
      <c r="F29" s="99"/>
      <c r="G29" s="99"/>
      <c r="H29" s="99"/>
      <c r="I29" s="99"/>
      <c r="J29" s="99"/>
      <c r="K29" s="99"/>
    </row>
  </sheetData>
  <mergeCells count="14">
    <mergeCell ref="A1:K1"/>
    <mergeCell ref="A2:K2"/>
    <mergeCell ref="A4:K4"/>
    <mergeCell ref="A24:K24"/>
    <mergeCell ref="B25:D25"/>
    <mergeCell ref="E25:K25"/>
    <mergeCell ref="B29:D29"/>
    <mergeCell ref="E29:K29"/>
    <mergeCell ref="B26:D26"/>
    <mergeCell ref="E26:K26"/>
    <mergeCell ref="B27:D27"/>
    <mergeCell ref="E27:K27"/>
    <mergeCell ref="B28:D28"/>
    <mergeCell ref="E28:K28"/>
  </mergeCells>
  <conditionalFormatting sqref="H6:H22">
    <cfRule type="containsText" dxfId="4" priority="2" operator="containsText" text="Approved">
      <formula>NOT(ISERROR(SEARCH("Approved",H6)))</formula>
    </cfRule>
    <cfRule type="containsText" dxfId="3" priority="3" operator="containsText" text="Live">
      <formula>NOT(ISERROR(SEARCH("Live",H6)))</formula>
    </cfRule>
    <cfRule type="containsText" dxfId="2" priority="4" operator="containsText" text="Review">
      <formula>NOT(ISERROR(SEARCH("Review",H6)))</formula>
    </cfRule>
    <cfRule type="containsText" dxfId="1" priority="5" operator="containsText" text="In Progress">
      <formula>NOT(ISERROR(SEARCH("In Progress",H6)))</formula>
    </cfRule>
    <cfRule type="containsText" dxfId="0" priority="6" operator="containsText" text="Not Started">
      <formula>NOT(ISERROR(SEARCH("Not Started",H6)))</formula>
    </cfRule>
  </conditionalFormatting>
  <dataValidations count="1">
    <dataValidation type="list" allowBlank="1" sqref="H6:H22">
      <formula1>"Not Started,In Progress,Review,Approved,Live"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B1FA2"/>
  </sheetPr>
  <dimension ref="A1:E31"/>
  <sheetViews>
    <sheetView showGridLines="0" zoomScaleNormal="100" workbookViewId="0">
      <selection sqref="A1:E1"/>
    </sheetView>
  </sheetViews>
  <sheetFormatPr defaultColWidth="8.7109375" defaultRowHeight="15" x14ac:dyDescent="0.25"/>
  <cols>
    <col min="1" max="1" width="13" style="1" customWidth="1"/>
    <col min="2" max="2" width="22" style="1" customWidth="1"/>
    <col min="3" max="3" width="52" style="1" customWidth="1"/>
    <col min="4" max="4" width="22" style="1" customWidth="1"/>
    <col min="5" max="5" width="4" style="1" customWidth="1"/>
  </cols>
  <sheetData>
    <row r="1" spans="1:5" ht="33.75" customHeight="1" x14ac:dyDescent="0.25">
      <c r="A1" s="102" t="s">
        <v>732</v>
      </c>
      <c r="B1" s="102"/>
      <c r="C1" s="102"/>
      <c r="D1" s="102"/>
      <c r="E1" s="102"/>
    </row>
    <row r="2" spans="1:5" ht="18" customHeight="1" x14ac:dyDescent="0.25">
      <c r="A2" s="101" t="s">
        <v>733</v>
      </c>
      <c r="B2" s="101"/>
      <c r="C2" s="101"/>
      <c r="D2" s="101"/>
      <c r="E2" s="101"/>
    </row>
    <row r="3" spans="1:5" ht="7.5" customHeight="1" x14ac:dyDescent="0.25"/>
    <row r="4" spans="1:5" ht="21.75" customHeight="1" x14ac:dyDescent="0.25">
      <c r="A4" s="96" t="s">
        <v>734</v>
      </c>
      <c r="B4" s="96"/>
      <c r="C4" s="96"/>
      <c r="D4" s="96"/>
      <c r="E4" s="96"/>
    </row>
    <row r="5" spans="1:5" ht="19.5" customHeight="1" x14ac:dyDescent="0.25">
      <c r="A5" s="155" t="s">
        <v>735</v>
      </c>
      <c r="B5" s="155"/>
      <c r="C5" s="155"/>
      <c r="D5" s="155"/>
      <c r="E5" s="155"/>
    </row>
    <row r="6" spans="1:5" ht="7.5" customHeight="1" x14ac:dyDescent="0.25"/>
    <row r="7" spans="1:5" ht="36" customHeight="1" x14ac:dyDescent="0.25">
      <c r="A7" s="88">
        <v>1</v>
      </c>
      <c r="B7" s="67" t="s">
        <v>736</v>
      </c>
      <c r="C7" s="89" t="s">
        <v>737</v>
      </c>
      <c r="D7" s="90" t="s">
        <v>738</v>
      </c>
    </row>
    <row r="8" spans="1:5" ht="36" customHeight="1" x14ac:dyDescent="0.25">
      <c r="A8" s="3">
        <v>2</v>
      </c>
      <c r="B8" s="4" t="s">
        <v>739</v>
      </c>
      <c r="C8" s="91" t="s">
        <v>740</v>
      </c>
      <c r="D8" s="92" t="s">
        <v>741</v>
      </c>
    </row>
    <row r="9" spans="1:5" ht="36" customHeight="1" x14ac:dyDescent="0.25">
      <c r="A9" s="88">
        <v>3</v>
      </c>
      <c r="B9" s="67" t="s">
        <v>742</v>
      </c>
      <c r="C9" s="36" t="s">
        <v>743</v>
      </c>
      <c r="D9" s="90" t="s">
        <v>744</v>
      </c>
    </row>
    <row r="10" spans="1:5" ht="36" customHeight="1" x14ac:dyDescent="0.25">
      <c r="A10" s="3">
        <v>4</v>
      </c>
      <c r="B10" s="4" t="s">
        <v>745</v>
      </c>
      <c r="C10" s="5" t="s">
        <v>746</v>
      </c>
      <c r="D10" s="92" t="s">
        <v>747</v>
      </c>
    </row>
    <row r="11" spans="1:5" ht="36" customHeight="1" x14ac:dyDescent="0.25">
      <c r="A11" s="88">
        <v>5</v>
      </c>
      <c r="B11" s="67" t="s">
        <v>748</v>
      </c>
      <c r="C11" s="36" t="s">
        <v>749</v>
      </c>
      <c r="D11" s="90" t="s">
        <v>750</v>
      </c>
    </row>
    <row r="12" spans="1:5" ht="7.5" customHeight="1" x14ac:dyDescent="0.25"/>
    <row r="13" spans="1:5" ht="21.75" customHeight="1" x14ac:dyDescent="0.25">
      <c r="A13" s="96" t="s">
        <v>751</v>
      </c>
      <c r="B13" s="96"/>
      <c r="C13" s="96"/>
      <c r="D13" s="96"/>
      <c r="E13" s="96"/>
    </row>
    <row r="14" spans="1:5" ht="19.5" customHeight="1" x14ac:dyDescent="0.25">
      <c r="A14" s="155" t="s">
        <v>752</v>
      </c>
      <c r="B14" s="155"/>
      <c r="C14" s="155"/>
      <c r="D14" s="155"/>
      <c r="E14" s="155"/>
    </row>
    <row r="15" spans="1:5" ht="36" customHeight="1" x14ac:dyDescent="0.25">
      <c r="A15" s="88">
        <v>1</v>
      </c>
      <c r="B15" s="67" t="s">
        <v>753</v>
      </c>
      <c r="C15" s="93" t="s">
        <v>754</v>
      </c>
      <c r="D15" s="90" t="s">
        <v>755</v>
      </c>
    </row>
    <row r="16" spans="1:5" ht="36" customHeight="1" x14ac:dyDescent="0.25">
      <c r="A16" s="3">
        <v>2</v>
      </c>
      <c r="B16" s="4" t="s">
        <v>756</v>
      </c>
      <c r="C16" s="94" t="s">
        <v>757</v>
      </c>
      <c r="D16" s="92" t="s">
        <v>758</v>
      </c>
    </row>
    <row r="17" spans="1:5" ht="36" customHeight="1" x14ac:dyDescent="0.25">
      <c r="A17" s="88">
        <v>3</v>
      </c>
      <c r="B17" s="67" t="s">
        <v>759</v>
      </c>
      <c r="C17" s="93" t="s">
        <v>760</v>
      </c>
      <c r="D17" s="90" t="s">
        <v>761</v>
      </c>
    </row>
    <row r="18" spans="1:5" ht="36" customHeight="1" x14ac:dyDescent="0.25">
      <c r="A18" s="3">
        <v>4</v>
      </c>
      <c r="B18" s="4" t="s">
        <v>762</v>
      </c>
      <c r="C18" s="94" t="s">
        <v>444</v>
      </c>
      <c r="D18" s="92" t="s">
        <v>763</v>
      </c>
    </row>
    <row r="19" spans="1:5" ht="36" customHeight="1" x14ac:dyDescent="0.25">
      <c r="A19" s="88">
        <v>5</v>
      </c>
      <c r="B19" s="67" t="s">
        <v>764</v>
      </c>
      <c r="C19" s="93" t="s">
        <v>765</v>
      </c>
      <c r="D19" s="90" t="s">
        <v>766</v>
      </c>
    </row>
    <row r="20" spans="1:5" ht="7.5" customHeight="1" x14ac:dyDescent="0.25"/>
    <row r="21" spans="1:5" ht="21.75" customHeight="1" x14ac:dyDescent="0.25">
      <c r="A21" s="149" t="s">
        <v>767</v>
      </c>
      <c r="B21" s="149"/>
      <c r="C21" s="149"/>
      <c r="D21" s="149"/>
      <c r="E21" s="149"/>
    </row>
    <row r="22" spans="1:5" ht="19.5" customHeight="1" x14ac:dyDescent="0.25">
      <c r="A22" s="156" t="s">
        <v>768</v>
      </c>
      <c r="B22" s="156"/>
      <c r="C22" s="156"/>
      <c r="D22" s="156"/>
      <c r="E22" s="156"/>
    </row>
    <row r="23" spans="1:5" ht="43.5" customHeight="1" x14ac:dyDescent="0.25">
      <c r="A23" s="95" t="s">
        <v>769</v>
      </c>
      <c r="B23" s="95" t="s">
        <v>770</v>
      </c>
      <c r="C23" s="95" t="s">
        <v>771</v>
      </c>
      <c r="D23" s="95" t="s">
        <v>772</v>
      </c>
    </row>
    <row r="24" spans="1:5" ht="51.75" customHeight="1" x14ac:dyDescent="0.25">
      <c r="A24" s="5" t="s">
        <v>773</v>
      </c>
      <c r="B24" s="5" t="s">
        <v>774</v>
      </c>
      <c r="C24" s="5" t="s">
        <v>775</v>
      </c>
      <c r="D24" s="5" t="s">
        <v>776</v>
      </c>
    </row>
    <row r="25" spans="1:5" ht="51.75" customHeight="1" x14ac:dyDescent="0.25">
      <c r="A25" s="86" t="s">
        <v>777</v>
      </c>
      <c r="B25" s="86" t="s">
        <v>778</v>
      </c>
      <c r="C25" s="86" t="s">
        <v>779</v>
      </c>
      <c r="D25" s="86" t="s">
        <v>780</v>
      </c>
    </row>
    <row r="26" spans="1:5" ht="51.75" customHeight="1" x14ac:dyDescent="0.25">
      <c r="A26" s="5" t="s">
        <v>781</v>
      </c>
      <c r="B26" s="5" t="s">
        <v>782</v>
      </c>
      <c r="C26" s="5" t="s">
        <v>783</v>
      </c>
      <c r="D26" s="5" t="s">
        <v>784</v>
      </c>
    </row>
    <row r="27" spans="1:5" ht="7.5" customHeight="1" x14ac:dyDescent="0.25"/>
    <row r="28" spans="1:5" ht="21.75" customHeight="1" x14ac:dyDescent="0.25">
      <c r="A28" s="96" t="s">
        <v>785</v>
      </c>
      <c r="B28" s="96"/>
      <c r="C28" s="96"/>
      <c r="D28" s="96"/>
      <c r="E28" s="96"/>
    </row>
    <row r="29" spans="1:5" ht="60" customHeight="1" x14ac:dyDescent="0.25">
      <c r="A29" s="157" t="s">
        <v>786</v>
      </c>
      <c r="B29" s="157"/>
      <c r="C29" s="157"/>
      <c r="D29" s="157"/>
      <c r="E29" s="157"/>
    </row>
    <row r="30" spans="1:5" ht="60" customHeight="1" x14ac:dyDescent="0.25">
      <c r="A30" s="154" t="s">
        <v>787</v>
      </c>
      <c r="B30" s="154"/>
      <c r="C30" s="154"/>
      <c r="D30" s="154"/>
      <c r="E30" s="154"/>
    </row>
    <row r="31" spans="1:5" ht="60" customHeight="1" x14ac:dyDescent="0.25">
      <c r="A31" s="154" t="s">
        <v>788</v>
      </c>
      <c r="B31" s="154"/>
      <c r="C31" s="154"/>
      <c r="D31" s="154"/>
      <c r="E31" s="154"/>
    </row>
  </sheetData>
  <mergeCells count="12">
    <mergeCell ref="A1:E1"/>
    <mergeCell ref="A2:E2"/>
    <mergeCell ref="A4:E4"/>
    <mergeCell ref="A5:E5"/>
    <mergeCell ref="A13:E13"/>
    <mergeCell ref="A30:E30"/>
    <mergeCell ref="A31:E31"/>
    <mergeCell ref="A14:E14"/>
    <mergeCell ref="A21:E21"/>
    <mergeCell ref="A22:E22"/>
    <mergeCell ref="A28:E28"/>
    <mergeCell ref="A29:E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🏠 Dashboard</vt:lpstr>
      <vt:lpstr>⚙️ Requirements</vt:lpstr>
      <vt:lpstr>🔍 Google Search</vt:lpstr>
      <vt:lpstr>🔌 Ad Extensions</vt:lpstr>
      <vt:lpstr>📺 Display · PMax</vt:lpstr>
      <vt:lpstr>🌟 Demand Gen</vt:lpstr>
      <vt:lpstr>📘 Meta Facebook</vt:lpstr>
      <vt:lpstr>🔷 Microsoft Bing</vt:lpstr>
      <vt:lpstr>📐 Guidelines</vt:lpstr>
      <vt:lpstr>📝 Copy Bank</vt:lpstr>
      <vt:lpstr>📊 Content Tracker</vt:lpstr>
      <vt:lpstr>💡 Samples &amp; 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BHARATH U</cp:lastModifiedBy>
  <cp:revision>0</cp:revision>
  <dcterms:created xsi:type="dcterms:W3CDTF">2026-06-03T03:47:44Z</dcterms:created>
  <dcterms:modified xsi:type="dcterms:W3CDTF">2026-06-03T09:49:45Z</dcterms:modified>
  <dc:language>en-US</dc:language>
</cp:coreProperties>
</file>